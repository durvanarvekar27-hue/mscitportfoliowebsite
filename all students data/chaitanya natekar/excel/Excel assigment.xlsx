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chaitanya natekar\excel\"/>
    </mc:Choice>
  </mc:AlternateContent>
  <xr:revisionPtr revIDLastSave="0" documentId="13_ncr:1_{DF6597FE-92AB-45B3-9640-0C5D6AEC3BBE}" xr6:coauthVersionLast="47" xr6:coauthVersionMax="47" xr10:uidLastSave="{00000000-0000-0000-0000-000000000000}"/>
  <bookViews>
    <workbookView xWindow="2268" yWindow="2268" windowWidth="17280" windowHeight="8880" activeTab="1" xr2:uid="{53D5F6F5-CAA9-42EF-B062-D26488B3665A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7" i="1"/>
  <c r="Q7" i="1" s="1"/>
</calcChain>
</file>

<file path=xl/sharedStrings.xml><?xml version="1.0" encoding="utf-8"?>
<sst xmlns="http://schemas.openxmlformats.org/spreadsheetml/2006/main" count="28" uniqueCount="27">
  <si>
    <t xml:space="preserve">Access Computer Institute     </t>
  </si>
  <si>
    <t>Examination Sheet</t>
  </si>
  <si>
    <t xml:space="preserve">Faculty : Kamlesh sir </t>
  </si>
  <si>
    <t>Batch time : 10 a.m.</t>
  </si>
  <si>
    <t>Name of studant</t>
  </si>
  <si>
    <r>
      <rPr>
        <sz val="10"/>
        <color theme="1"/>
        <rFont val="Calibri"/>
        <family val="2"/>
        <scheme val="minor"/>
      </rPr>
      <t xml:space="preserve">Roll no </t>
    </r>
    <r>
      <rPr>
        <sz val="8"/>
        <color theme="1"/>
        <rFont val="Calibri"/>
        <family val="2"/>
        <scheme val="minor"/>
      </rPr>
      <t xml:space="preserve">     </t>
    </r>
  </si>
  <si>
    <t>Word Examination</t>
  </si>
  <si>
    <t xml:space="preserve">Excel Examination </t>
  </si>
  <si>
    <t>Rahul sangit</t>
  </si>
  <si>
    <t>Nilesh pimpale</t>
  </si>
  <si>
    <t xml:space="preserve">Sushant Dera </t>
  </si>
  <si>
    <t xml:space="preserve">Vikas potphode </t>
  </si>
  <si>
    <t>Jayant Dhumal</t>
  </si>
  <si>
    <t>Ganesh pathare</t>
  </si>
  <si>
    <t>Govind More</t>
  </si>
  <si>
    <t xml:space="preserve">Ashok Mane </t>
  </si>
  <si>
    <t>Shashank Gupte</t>
  </si>
  <si>
    <t xml:space="preserve">Ganesh Ladkat </t>
  </si>
  <si>
    <t xml:space="preserve">Oral Exam </t>
  </si>
  <si>
    <t>Prictical Exam</t>
  </si>
  <si>
    <t>Oral Exam</t>
  </si>
  <si>
    <t>Total</t>
  </si>
  <si>
    <t>Per</t>
  </si>
  <si>
    <t xml:space="preserve">Total Students </t>
  </si>
  <si>
    <t>Maximum Marks</t>
  </si>
  <si>
    <t>Minimum Marks</t>
  </si>
  <si>
    <t xml:space="preserve">Average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</si>
</sst>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2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5" xfId="0" applyBorder="1"/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Sheet1!$A$5:$B$5</c:f>
              <c:strCache>
                <c:ptCount val="2"/>
                <c:pt idx="0">
                  <c:v>Roll no      </c:v>
                </c:pt>
                <c:pt idx="1">
                  <c:v>Name of studant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Sheet1!$C$5:$Q$5</c:f>
              <c:numCache>
                <c:formatCode>General</c:formatCode>
                <c:ptCount val="15"/>
                <c:pt idx="1">
                  <c:v>0</c:v>
                </c:pt>
                <c:pt idx="7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1-404C-998F-7EEEA043517C}"/>
            </c:ext>
          </c:extLst>
        </c:ser>
        <c:ser>
          <c:idx val="1"/>
          <c:order val="1"/>
          <c:tx>
            <c:strRef>
              <c:f>Sheet1!$A$6:$B$6</c:f>
              <c:strCache>
                <c:ptCount val="2"/>
                <c:pt idx="0">
                  <c:v>Roll no      </c:v>
                </c:pt>
                <c:pt idx="1">
                  <c:v>Name of studant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Sheet1!$C$6:$Q$6</c:f>
              <c:numCache>
                <c:formatCode>General</c:formatCode>
                <c:ptCount val="1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1-404C-998F-7EEEA043517C}"/>
            </c:ext>
          </c:extLst>
        </c:ser>
        <c:ser>
          <c:idx val="2"/>
          <c:order val="2"/>
          <c:tx>
            <c:strRef>
              <c:f>Sheet1!$A$7:$B$7</c:f>
              <c:strCache>
                <c:ptCount val="2"/>
                <c:pt idx="0">
                  <c:v>1</c:v>
                </c:pt>
                <c:pt idx="1">
                  <c:v>Rahul sangit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Sheet1!$C$7:$Q$7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26</c:v>
                </c:pt>
                <c:pt idx="14" formatCode="0.00%">
                  <c:v>0.8666666666666667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81-404C-998F-7EEEA043517C}"/>
            </c:ext>
          </c:extLst>
        </c:ser>
        <c:ser>
          <c:idx val="3"/>
          <c:order val="3"/>
          <c:tx>
            <c:strRef>
              <c:f>Sheet1!$A$8:$B$8</c:f>
              <c:strCache>
                <c:ptCount val="2"/>
                <c:pt idx="0">
                  <c:v>2</c:v>
                </c:pt>
                <c:pt idx="1">
                  <c:v>Nilesh pimpale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Sheet1!$C$8:$Q$8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6">
                  <c:v>7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7</c:v>
                </c:pt>
                <c:pt idx="13">
                  <c:v>19</c:v>
                </c:pt>
                <c:pt idx="14" formatCode="0.00%">
                  <c:v>0.6333333333333333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81-404C-998F-7EEEA043517C}"/>
            </c:ext>
          </c:extLst>
        </c:ser>
        <c:ser>
          <c:idx val="4"/>
          <c:order val="4"/>
          <c:tx>
            <c:strRef>
              <c:f>Sheet1!$A$9:$B$9</c:f>
              <c:strCache>
                <c:ptCount val="2"/>
                <c:pt idx="0">
                  <c:v>3</c:v>
                </c:pt>
                <c:pt idx="1">
                  <c:v>Sushant Dera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Sheet1!$C$9:$Q$9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6">
                  <c:v>9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8</c:v>
                </c:pt>
                <c:pt idx="13">
                  <c:v>22</c:v>
                </c:pt>
                <c:pt idx="14" formatCode="0.00%">
                  <c:v>0.73333333333333328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81-404C-998F-7EEEA043517C}"/>
            </c:ext>
          </c:extLst>
        </c:ser>
        <c:ser>
          <c:idx val="5"/>
          <c:order val="5"/>
          <c:tx>
            <c:strRef>
              <c:f>Sheet1!$A$10:$B$10</c:f>
              <c:strCache>
                <c:ptCount val="2"/>
                <c:pt idx="0">
                  <c:v>4</c:v>
                </c:pt>
                <c:pt idx="1">
                  <c:v>Vikas potphode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Sheet1!$C$10:$Q$10</c:f>
              <c:numCache>
                <c:formatCode>General</c:formatCode>
                <c:ptCount val="15"/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8</c:v>
                </c:pt>
                <c:pt idx="13">
                  <c:v>19</c:v>
                </c:pt>
                <c:pt idx="14" formatCode="0.00%">
                  <c:v>0.6333333333333333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81-404C-998F-7EEEA043517C}"/>
            </c:ext>
          </c:extLst>
        </c:ser>
        <c:ser>
          <c:idx val="6"/>
          <c:order val="6"/>
          <c:tx>
            <c:strRef>
              <c:f>Sheet1!$A$11:$B$11</c:f>
              <c:strCache>
                <c:ptCount val="2"/>
                <c:pt idx="0">
                  <c:v>5</c:v>
                </c:pt>
                <c:pt idx="1">
                  <c:v>Jayant Dhumal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Sheet1!$C$11:$Q$11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9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27</c:v>
                </c:pt>
                <c:pt idx="14" formatCode="0.00%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81-404C-998F-7EEEA043517C}"/>
            </c:ext>
          </c:extLst>
        </c:ser>
        <c:ser>
          <c:idx val="7"/>
          <c:order val="7"/>
          <c:tx>
            <c:strRef>
              <c:f>Sheet1!$A$12:$B$12</c:f>
              <c:strCache>
                <c:ptCount val="2"/>
                <c:pt idx="0">
                  <c:v>6</c:v>
                </c:pt>
                <c:pt idx="1">
                  <c:v>Ganesh pathare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Sheet1!$C$12:$Q$12</c:f>
              <c:numCache>
                <c:formatCode>General</c:formatCode>
                <c:ptCount val="15"/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6">
                  <c:v>8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8</c:v>
                </c:pt>
                <c:pt idx="13">
                  <c:v>20</c:v>
                </c:pt>
                <c:pt idx="14" formatCode="0.00%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81-404C-998F-7EEEA043517C}"/>
            </c:ext>
          </c:extLst>
        </c:ser>
        <c:ser>
          <c:idx val="8"/>
          <c:order val="8"/>
          <c:tx>
            <c:strRef>
              <c:f>Sheet1!$A$13:$B$13</c:f>
              <c:strCache>
                <c:ptCount val="2"/>
                <c:pt idx="0">
                  <c:v>7</c:v>
                </c:pt>
                <c:pt idx="1">
                  <c:v>Govind More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Sheet1!$C$13:$Q$13</c:f>
              <c:numCache>
                <c:formatCode>General</c:formatCode>
                <c:ptCount val="15"/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  <c:pt idx="13">
                  <c:v>22</c:v>
                </c:pt>
                <c:pt idx="14" formatCode="0.00%">
                  <c:v>0.73333333333333328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81-404C-998F-7EEEA043517C}"/>
            </c:ext>
          </c:extLst>
        </c:ser>
        <c:ser>
          <c:idx val="9"/>
          <c:order val="9"/>
          <c:tx>
            <c:strRef>
              <c:f>Sheet1!$A$14:$B$14</c:f>
              <c:strCache>
                <c:ptCount val="2"/>
                <c:pt idx="0">
                  <c:v>8</c:v>
                </c:pt>
                <c:pt idx="1">
                  <c:v>Ashok Mane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Sheet1!$C$14:$Q$14</c:f>
              <c:numCache>
                <c:formatCode>General</c:formatCode>
                <c:ptCount val="15"/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6</c:v>
                </c:pt>
                <c:pt idx="13">
                  <c:v>16</c:v>
                </c:pt>
                <c:pt idx="14" formatCode="0.00%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81-404C-998F-7EEEA043517C}"/>
            </c:ext>
          </c:extLst>
        </c:ser>
        <c:ser>
          <c:idx val="10"/>
          <c:order val="10"/>
          <c:tx>
            <c:strRef>
              <c:f>Sheet1!$A$15:$B$15</c:f>
              <c:strCache>
                <c:ptCount val="2"/>
                <c:pt idx="0">
                  <c:v>9</c:v>
                </c:pt>
                <c:pt idx="1">
                  <c:v>Shashank Gupte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Sheet1!$C$15:$Q$15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22</c:v>
                </c:pt>
                <c:pt idx="14" formatCode="0.00%">
                  <c:v>0.73333333333333328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81-404C-998F-7EEEA043517C}"/>
            </c:ext>
          </c:extLst>
        </c:ser>
        <c:ser>
          <c:idx val="11"/>
          <c:order val="11"/>
          <c:tx>
            <c:strRef>
              <c:f>Sheet1!$A$16:$B$16</c:f>
              <c:strCache>
                <c:ptCount val="2"/>
                <c:pt idx="0">
                  <c:v>10</c:v>
                </c:pt>
                <c:pt idx="1">
                  <c:v>Ganesh Ladkat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Sheet1!$C$1:$Q$4</c:f>
              <c:multiLvlStrCache>
                <c:ptCount val="15"/>
                <c:lvl>
                  <c:pt idx="1">
                    <c:v>Word Examination</c:v>
                  </c:pt>
                  <c:pt idx="6">
                    <c:v>Prictical Exam</c:v>
                  </c:pt>
                  <c:pt idx="7">
                    <c:v>Excel Examination </c:v>
                  </c:pt>
                  <c:pt idx="13">
                    <c:v>Total</c:v>
                  </c:pt>
                  <c:pt idx="14">
                    <c:v>Per</c:v>
                  </c:pt>
                </c:lvl>
                <c:lvl>
                  <c:pt idx="7">
                    <c:v>Batch time : 10 a.m.</c:v>
                  </c:pt>
                </c:lvl>
              </c:multiLvlStrCache>
            </c:multiLvlStrRef>
          </c:cat>
          <c:val>
            <c:numRef>
              <c:f>Sheet1!$C$16:$Q$16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6">
                  <c:v>9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  <c:pt idx="13">
                  <c:v>24</c:v>
                </c:pt>
                <c:pt idx="14" formatCode="0.00%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C81-404C-998F-7EEEA0435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912224"/>
        <c:axId val="1192886928"/>
      </c:barChart>
      <c:catAx>
        <c:axId val="119191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886928"/>
        <c:crosses val="autoZero"/>
        <c:auto val="1"/>
        <c:lblAlgn val="ctr"/>
        <c:lblOffset val="100"/>
        <c:noMultiLvlLbl val="0"/>
      </c:catAx>
      <c:valAx>
        <c:axId val="11928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1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07E08C-AC60-4B0C-8B75-EDB311B9E4D6}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311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DA624-53CF-4D1E-AA78-8766B76850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A6E4-AB2A-4774-8B8E-AE4BF7F59D71}">
  <sheetPr>
    <pageSetUpPr fitToPage="1"/>
  </sheetPr>
  <dimension ref="A1:R20"/>
  <sheetViews>
    <sheetView tabSelected="1" topLeftCell="A4" workbookViewId="0">
      <selection activeCell="R15" sqref="R15"/>
    </sheetView>
  </sheetViews>
  <sheetFormatPr defaultRowHeight="14.4" x14ac:dyDescent="0.3"/>
  <cols>
    <col min="1" max="1" width="6.5546875" customWidth="1"/>
    <col min="4" max="4" width="4.6640625" customWidth="1"/>
    <col min="5" max="5" width="5" customWidth="1"/>
    <col min="6" max="6" width="4.88671875" customWidth="1"/>
    <col min="7" max="7" width="5.109375" customWidth="1"/>
    <col min="8" max="8" width="4.44140625" customWidth="1"/>
    <col min="9" max="9" width="13" customWidth="1"/>
    <col min="14" max="14" width="11.44140625" customWidth="1"/>
    <col min="15" max="15" width="13.88671875" customWidth="1"/>
    <col min="16" max="16" width="11" customWidth="1"/>
    <col min="17" max="17" width="14.5546875" customWidth="1"/>
  </cols>
  <sheetData>
    <row r="1" spans="1:18" ht="45" customHeight="1" x14ac:dyDescent="0.6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  <c r="Q1" s="13"/>
      <c r="R1" s="6"/>
    </row>
    <row r="2" spans="1:18" ht="30" customHeight="1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Q2" s="14"/>
      <c r="R2" s="6"/>
    </row>
    <row r="3" spans="1:18" ht="15" thickBot="1" x14ac:dyDescent="0.3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5" t="s">
        <v>3</v>
      </c>
      <c r="K3" s="25"/>
      <c r="L3" s="25"/>
      <c r="M3" s="25"/>
      <c r="N3" s="25"/>
      <c r="O3" s="25"/>
      <c r="P3" s="26"/>
      <c r="Q3" s="15"/>
      <c r="R3" s="6"/>
    </row>
    <row r="4" spans="1:18" ht="29.25" customHeight="1" x14ac:dyDescent="0.45">
      <c r="A4" s="27" t="s">
        <v>5</v>
      </c>
      <c r="B4" s="28" t="s">
        <v>4</v>
      </c>
      <c r="C4" s="29"/>
      <c r="D4" s="30" t="s">
        <v>6</v>
      </c>
      <c r="E4" s="31"/>
      <c r="F4" s="31"/>
      <c r="G4" s="31"/>
      <c r="H4" s="32"/>
      <c r="I4" s="35" t="s">
        <v>19</v>
      </c>
      <c r="J4" s="33" t="s">
        <v>7</v>
      </c>
      <c r="K4" s="34"/>
      <c r="L4" s="34"/>
      <c r="M4" s="34"/>
      <c r="N4" s="34"/>
      <c r="O4" s="1"/>
      <c r="P4" s="8" t="s">
        <v>21</v>
      </c>
      <c r="Q4" s="11" t="s">
        <v>22</v>
      </c>
    </row>
    <row r="5" spans="1:18" ht="18" x14ac:dyDescent="0.35">
      <c r="A5" s="27"/>
      <c r="B5" s="29"/>
      <c r="C5" s="29"/>
      <c r="D5" s="17" t="s">
        <v>18</v>
      </c>
      <c r="E5" s="18"/>
      <c r="F5" s="18"/>
      <c r="G5" s="18"/>
      <c r="H5" s="18"/>
      <c r="I5" s="36"/>
      <c r="J5" s="38" t="s">
        <v>20</v>
      </c>
      <c r="K5" s="39"/>
      <c r="L5" s="39"/>
      <c r="M5" s="40"/>
      <c r="N5" s="1"/>
      <c r="O5" s="41" t="s">
        <v>19</v>
      </c>
      <c r="P5" s="9"/>
      <c r="Q5" s="12"/>
    </row>
    <row r="6" spans="1:18" ht="15" thickBot="1" x14ac:dyDescent="0.35">
      <c r="A6" s="2"/>
      <c r="B6" s="1"/>
      <c r="C6" s="1"/>
      <c r="D6" s="3">
        <v>1</v>
      </c>
      <c r="E6" s="4">
        <v>2</v>
      </c>
      <c r="F6" s="4">
        <v>3</v>
      </c>
      <c r="G6" s="4">
        <v>4</v>
      </c>
      <c r="H6" s="4">
        <v>5</v>
      </c>
      <c r="I6" s="37"/>
      <c r="J6" s="5">
        <v>1</v>
      </c>
      <c r="K6" s="5">
        <v>2</v>
      </c>
      <c r="L6" s="5">
        <v>3</v>
      </c>
      <c r="M6" s="5">
        <v>4</v>
      </c>
      <c r="N6" s="5">
        <v>5</v>
      </c>
      <c r="O6" s="42"/>
      <c r="P6" s="10"/>
      <c r="Q6" s="12"/>
    </row>
    <row r="7" spans="1:18" ht="15" thickBot="1" x14ac:dyDescent="0.35">
      <c r="A7" s="2">
        <v>1</v>
      </c>
      <c r="B7" s="16" t="s">
        <v>8</v>
      </c>
      <c r="C7" s="16"/>
      <c r="D7" s="4">
        <v>1</v>
      </c>
      <c r="E7" s="4">
        <v>1</v>
      </c>
      <c r="F7" s="4">
        <v>1</v>
      </c>
      <c r="G7" s="4">
        <v>1</v>
      </c>
      <c r="H7" s="1"/>
      <c r="I7" s="4">
        <v>8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9</v>
      </c>
      <c r="P7" s="1">
        <f>SUM(D7:O7)</f>
        <v>26</v>
      </c>
      <c r="Q7" s="7">
        <f>P7/30</f>
        <v>0.8666666666666667</v>
      </c>
    </row>
    <row r="8" spans="1:18" ht="15" thickBot="1" x14ac:dyDescent="0.35">
      <c r="A8" s="2">
        <v>2</v>
      </c>
      <c r="B8" s="1" t="s">
        <v>9</v>
      </c>
      <c r="C8" s="1"/>
      <c r="D8" s="4">
        <v>0</v>
      </c>
      <c r="E8" s="4">
        <v>0</v>
      </c>
      <c r="F8" s="4">
        <v>1</v>
      </c>
      <c r="G8" s="4">
        <v>1</v>
      </c>
      <c r="H8" s="1"/>
      <c r="I8" s="4">
        <v>7</v>
      </c>
      <c r="J8" s="4">
        <v>1</v>
      </c>
      <c r="K8" s="4">
        <v>0</v>
      </c>
      <c r="L8" s="4">
        <v>0</v>
      </c>
      <c r="M8" s="4">
        <v>1</v>
      </c>
      <c r="N8" s="4">
        <v>1</v>
      </c>
      <c r="O8" s="4">
        <v>7</v>
      </c>
      <c r="P8" s="1">
        <f t="shared" ref="P8:P16" si="0">SUM(D8:O8)</f>
        <v>19</v>
      </c>
      <c r="Q8" s="7">
        <f t="shared" ref="Q8:Q16" si="1">P8/30</f>
        <v>0.6333333333333333</v>
      </c>
    </row>
    <row r="9" spans="1:18" ht="15" thickBot="1" x14ac:dyDescent="0.35">
      <c r="A9" s="2">
        <v>3</v>
      </c>
      <c r="B9" s="1" t="s">
        <v>10</v>
      </c>
      <c r="C9" s="1"/>
      <c r="D9" s="4">
        <v>1</v>
      </c>
      <c r="E9" s="4">
        <v>1</v>
      </c>
      <c r="F9" s="4">
        <v>0</v>
      </c>
      <c r="G9" s="4">
        <v>0</v>
      </c>
      <c r="H9" s="1"/>
      <c r="I9" s="4">
        <v>9</v>
      </c>
      <c r="J9" s="4">
        <v>1</v>
      </c>
      <c r="K9" s="4">
        <v>1</v>
      </c>
      <c r="L9" s="4">
        <v>0</v>
      </c>
      <c r="M9" s="4">
        <v>0</v>
      </c>
      <c r="N9" s="4">
        <v>1</v>
      </c>
      <c r="O9" s="4">
        <v>8</v>
      </c>
      <c r="P9" s="1">
        <f t="shared" si="0"/>
        <v>22</v>
      </c>
      <c r="Q9" s="7">
        <f t="shared" si="1"/>
        <v>0.73333333333333328</v>
      </c>
    </row>
    <row r="10" spans="1:18" ht="15" thickBot="1" x14ac:dyDescent="0.35">
      <c r="A10" s="2">
        <v>4</v>
      </c>
      <c r="B10" s="1" t="s">
        <v>11</v>
      </c>
      <c r="C10" s="1"/>
      <c r="D10" s="4">
        <v>1</v>
      </c>
      <c r="E10" s="4">
        <v>0</v>
      </c>
      <c r="F10" s="4">
        <v>0</v>
      </c>
      <c r="G10" s="4">
        <v>0</v>
      </c>
      <c r="H10" s="1"/>
      <c r="I10" s="4">
        <v>7</v>
      </c>
      <c r="J10" s="4">
        <v>1</v>
      </c>
      <c r="K10" s="4">
        <v>1</v>
      </c>
      <c r="L10" s="4">
        <v>0</v>
      </c>
      <c r="M10" s="4">
        <v>0</v>
      </c>
      <c r="N10" s="4">
        <v>1</v>
      </c>
      <c r="O10" s="4">
        <v>8</v>
      </c>
      <c r="P10" s="1">
        <f t="shared" si="0"/>
        <v>19</v>
      </c>
      <c r="Q10" s="7">
        <f t="shared" si="1"/>
        <v>0.6333333333333333</v>
      </c>
    </row>
    <row r="11" spans="1:18" ht="15" thickBot="1" x14ac:dyDescent="0.35">
      <c r="A11" s="2">
        <v>5</v>
      </c>
      <c r="B11" s="1" t="s">
        <v>12</v>
      </c>
      <c r="C11" s="1"/>
      <c r="D11" s="4">
        <v>1</v>
      </c>
      <c r="E11" s="4">
        <v>1</v>
      </c>
      <c r="F11" s="4">
        <v>1</v>
      </c>
      <c r="G11" s="4">
        <v>1</v>
      </c>
      <c r="H11" s="1"/>
      <c r="I11" s="4">
        <v>9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9</v>
      </c>
      <c r="P11" s="1">
        <f t="shared" si="0"/>
        <v>27</v>
      </c>
      <c r="Q11" s="7">
        <f t="shared" si="1"/>
        <v>0.9</v>
      </c>
    </row>
    <row r="12" spans="1:18" ht="15" thickBot="1" x14ac:dyDescent="0.35">
      <c r="A12" s="2">
        <v>6</v>
      </c>
      <c r="B12" s="1" t="s">
        <v>13</v>
      </c>
      <c r="C12" s="1"/>
      <c r="D12" s="4">
        <v>1</v>
      </c>
      <c r="E12" s="4">
        <v>0</v>
      </c>
      <c r="F12" s="4">
        <v>0</v>
      </c>
      <c r="G12" s="4">
        <v>1</v>
      </c>
      <c r="H12" s="1"/>
      <c r="I12" s="4">
        <v>8</v>
      </c>
      <c r="J12" s="4">
        <v>1</v>
      </c>
      <c r="K12" s="4">
        <v>0</v>
      </c>
      <c r="L12" s="4">
        <v>1</v>
      </c>
      <c r="M12" s="4">
        <v>0</v>
      </c>
      <c r="N12" s="4">
        <v>0</v>
      </c>
      <c r="O12" s="4">
        <v>8</v>
      </c>
      <c r="P12" s="1">
        <f t="shared" si="0"/>
        <v>20</v>
      </c>
      <c r="Q12" s="7">
        <f t="shared" si="1"/>
        <v>0.66666666666666663</v>
      </c>
    </row>
    <row r="13" spans="1:18" ht="15" thickBot="1" x14ac:dyDescent="0.35">
      <c r="A13" s="2">
        <v>7</v>
      </c>
      <c r="B13" s="1" t="s">
        <v>14</v>
      </c>
      <c r="C13" s="1"/>
      <c r="D13" s="4">
        <v>1</v>
      </c>
      <c r="E13" s="4">
        <v>0</v>
      </c>
      <c r="F13" s="4">
        <v>1</v>
      </c>
      <c r="G13" s="4">
        <v>0</v>
      </c>
      <c r="H13" s="1"/>
      <c r="I13" s="4">
        <v>7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8</v>
      </c>
      <c r="P13" s="1">
        <f t="shared" si="0"/>
        <v>22</v>
      </c>
      <c r="Q13" s="7">
        <f t="shared" si="1"/>
        <v>0.73333333333333328</v>
      </c>
    </row>
    <row r="14" spans="1:18" ht="15" thickBot="1" x14ac:dyDescent="0.35">
      <c r="A14" s="2">
        <v>8</v>
      </c>
      <c r="B14" s="1" t="s">
        <v>15</v>
      </c>
      <c r="C14" s="1"/>
      <c r="D14" s="4">
        <v>1</v>
      </c>
      <c r="E14" s="4">
        <v>0</v>
      </c>
      <c r="F14" s="4">
        <v>1</v>
      </c>
      <c r="G14" s="4">
        <v>0</v>
      </c>
      <c r="H14" s="1"/>
      <c r="I14" s="4">
        <v>5</v>
      </c>
      <c r="J14" s="4">
        <v>1</v>
      </c>
      <c r="K14" s="4">
        <v>0</v>
      </c>
      <c r="L14" s="4">
        <v>1</v>
      </c>
      <c r="M14" s="4">
        <v>0</v>
      </c>
      <c r="N14" s="4">
        <v>1</v>
      </c>
      <c r="O14" s="4">
        <v>6</v>
      </c>
      <c r="P14" s="1">
        <f t="shared" si="0"/>
        <v>16</v>
      </c>
      <c r="Q14" s="7">
        <f t="shared" si="1"/>
        <v>0.53333333333333333</v>
      </c>
    </row>
    <row r="15" spans="1:18" ht="15" thickBot="1" x14ac:dyDescent="0.35">
      <c r="A15" s="2">
        <v>9</v>
      </c>
      <c r="B15" s="1" t="s">
        <v>16</v>
      </c>
      <c r="C15" s="1"/>
      <c r="D15" s="4">
        <v>1</v>
      </c>
      <c r="E15" s="4">
        <v>1</v>
      </c>
      <c r="F15" s="4">
        <v>1</v>
      </c>
      <c r="G15" s="4">
        <v>1</v>
      </c>
      <c r="H15" s="1"/>
      <c r="I15" s="4">
        <v>7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6</v>
      </c>
      <c r="P15" s="1">
        <f t="shared" si="0"/>
        <v>22</v>
      </c>
      <c r="Q15" s="7">
        <f t="shared" si="1"/>
        <v>0.73333333333333328</v>
      </c>
    </row>
    <row r="16" spans="1:18" ht="15" thickBot="1" x14ac:dyDescent="0.35">
      <c r="A16" s="2">
        <v>10</v>
      </c>
      <c r="B16" s="1" t="s">
        <v>17</v>
      </c>
      <c r="C16" s="1"/>
      <c r="D16" s="4">
        <v>1</v>
      </c>
      <c r="E16" s="4">
        <v>1</v>
      </c>
      <c r="F16" s="4">
        <v>0</v>
      </c>
      <c r="G16" s="4">
        <v>0</v>
      </c>
      <c r="H16" s="1"/>
      <c r="I16" s="4">
        <v>9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8</v>
      </c>
      <c r="P16" s="1">
        <f t="shared" si="0"/>
        <v>24</v>
      </c>
      <c r="Q16" s="7">
        <f t="shared" si="1"/>
        <v>0.8</v>
      </c>
    </row>
    <row r="17" spans="1:17" ht="15" thickBot="1" x14ac:dyDescent="0.35">
      <c r="Q17" s="7"/>
    </row>
    <row r="18" spans="1:17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5"/>
      <c r="N18" s="43" t="s">
        <v>24</v>
      </c>
      <c r="O18" s="45"/>
      <c r="P18" s="1">
        <v>28</v>
      </c>
      <c r="Q18" s="1">
        <v>93.33</v>
      </c>
    </row>
    <row r="19" spans="1:17" x14ac:dyDescent="0.3">
      <c r="A19" s="43" t="s">
        <v>23</v>
      </c>
      <c r="B19" s="44"/>
      <c r="C19" s="45"/>
      <c r="D19" s="1">
        <v>10</v>
      </c>
      <c r="E19" s="43"/>
      <c r="F19" s="44"/>
      <c r="G19" s="44"/>
      <c r="H19" s="45"/>
      <c r="I19" s="46"/>
      <c r="J19" s="47"/>
      <c r="K19" s="47"/>
      <c r="L19" s="47"/>
      <c r="M19" s="48"/>
      <c r="N19" s="43" t="s">
        <v>25</v>
      </c>
      <c r="O19" s="45"/>
      <c r="P19" s="1">
        <v>17</v>
      </c>
      <c r="Q19" s="1">
        <v>56.67</v>
      </c>
    </row>
    <row r="20" spans="1:17" x14ac:dyDescent="0.3">
      <c r="A20" s="43"/>
      <c r="B20" s="44"/>
      <c r="C20" s="44"/>
      <c r="D20" s="44"/>
      <c r="E20" s="44"/>
      <c r="F20" s="44"/>
      <c r="G20" s="44"/>
      <c r="H20" s="45"/>
      <c r="I20" s="49"/>
      <c r="J20" s="50"/>
      <c r="K20" s="50"/>
      <c r="L20" s="50"/>
      <c r="M20" s="51"/>
      <c r="N20" s="43" t="s">
        <v>26</v>
      </c>
      <c r="O20" s="45"/>
      <c r="P20" s="1">
        <v>22.5</v>
      </c>
      <c r="Q20" s="1">
        <v>75</v>
      </c>
    </row>
  </sheetData>
  <mergeCells count="24">
    <mergeCell ref="A19:C19"/>
    <mergeCell ref="N18:O18"/>
    <mergeCell ref="N19:O19"/>
    <mergeCell ref="N20:O20"/>
    <mergeCell ref="I19:M20"/>
    <mergeCell ref="A18:M18"/>
    <mergeCell ref="A20:H20"/>
    <mergeCell ref="E19:H19"/>
    <mergeCell ref="P4:P6"/>
    <mergeCell ref="Q4:Q6"/>
    <mergeCell ref="Q1:Q3"/>
    <mergeCell ref="B7:C7"/>
    <mergeCell ref="D5:H5"/>
    <mergeCell ref="A1:P1"/>
    <mergeCell ref="A2:P2"/>
    <mergeCell ref="A3:I3"/>
    <mergeCell ref="J3:P3"/>
    <mergeCell ref="A4:A5"/>
    <mergeCell ref="B4:C5"/>
    <mergeCell ref="D4:H4"/>
    <mergeCell ref="J4:N4"/>
    <mergeCell ref="I4:I6"/>
    <mergeCell ref="J5:M5"/>
    <mergeCell ref="O5:O6"/>
  </mergeCells>
  <pageMargins left="0.25" right="0.25" top="0.75" bottom="0.75" header="0.3" footer="0.3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MAAYA</dc:creator>
  <cp:lastModifiedBy>Durva Narvekar</cp:lastModifiedBy>
  <cp:lastPrinted>2026-06-20T07:16:56Z</cp:lastPrinted>
  <dcterms:created xsi:type="dcterms:W3CDTF">2026-05-27T11:23:50Z</dcterms:created>
  <dcterms:modified xsi:type="dcterms:W3CDTF">2026-06-20T07:17:01Z</dcterms:modified>
</cp:coreProperties>
</file>