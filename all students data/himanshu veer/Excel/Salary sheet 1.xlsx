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himanshu veer\Excel\"/>
    </mc:Choice>
  </mc:AlternateContent>
  <xr:revisionPtr revIDLastSave="0" documentId="13_ncr:1_{03E77C7C-7CFB-4E66-BA09-C67540B2122F}" xr6:coauthVersionLast="47" xr6:coauthVersionMax="47" xr10:uidLastSave="{00000000-0000-0000-0000-000000000000}"/>
  <bookViews>
    <workbookView xWindow="1536" yWindow="1536" windowWidth="17280" windowHeight="8880" xr2:uid="{7D1E253A-6A58-461E-937D-CAC0BF892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  <c r="J3" i="1" l="1"/>
  <c r="J11" i="1"/>
  <c r="J9" i="1"/>
  <c r="J7" i="1"/>
  <c r="J5" i="1"/>
  <c r="I3" i="1"/>
  <c r="I11" i="1"/>
  <c r="I9" i="1"/>
  <c r="I7" i="1"/>
  <c r="I5" i="1"/>
  <c r="J12" i="1"/>
  <c r="J10" i="1"/>
  <c r="J8" i="1"/>
  <c r="J6" i="1"/>
  <c r="J4" i="1"/>
  <c r="I12" i="1"/>
  <c r="I10" i="1"/>
  <c r="I8" i="1"/>
  <c r="I6" i="1"/>
  <c r="I4" i="1"/>
  <c r="K6" i="1" l="1"/>
  <c r="K10" i="1"/>
  <c r="K7" i="1"/>
  <c r="K11" i="1"/>
  <c r="K4" i="1"/>
  <c r="K8" i="1"/>
  <c r="K12" i="1"/>
  <c r="K5" i="1"/>
  <c r="K9" i="1"/>
  <c r="K3" i="1"/>
</calcChain>
</file>

<file path=xl/sharedStrings.xml><?xml version="1.0" encoding="utf-8"?>
<sst xmlns="http://schemas.openxmlformats.org/spreadsheetml/2006/main" count="32" uniqueCount="28">
  <si>
    <t>SALARY SHEET MARCH 2014</t>
  </si>
  <si>
    <t>ID No</t>
  </si>
  <si>
    <t>Name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</si>
  <si>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</si>
  <si>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</si>
  <si>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</si>
  <si>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</si>
  <si>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</si>
  <si>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</si>
  <si>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</si>
  <si>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</si>
  <si>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</si>
  <si>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</si>
  <si>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>Post</t>
  </si>
  <si>
    <t>Manager</t>
  </si>
  <si>
    <t>Accountant</t>
  </si>
  <si>
    <t>Salesman</t>
  </si>
  <si>
    <t>Officer</t>
  </si>
  <si>
    <t>Asst Manager</t>
  </si>
  <si>
    <t>Helper</t>
  </si>
  <si>
    <t>Basic</t>
  </si>
  <si>
    <t>DA</t>
  </si>
  <si>
    <t>HRA</t>
  </si>
  <si>
    <t>TA</t>
  </si>
  <si>
    <t>GROSS PAY</t>
  </si>
  <si>
    <t>P.F</t>
  </si>
  <si>
    <t>ESI</t>
  </si>
  <si>
    <t>netpay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</si>
</sst>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Arial Black"/>
      <family val="2"/>
    </font>
    <font>
      <sz val="11"/>
      <color rgb="FF00B050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2" fontId="5" fillId="5" borderId="1" xfId="0" applyNumberFormat="1" applyFont="1" applyFill="1" applyBorder="1"/>
    <xf numFmtId="0" fontId="0" fillId="6" borderId="0" xfId="0" applyFill="1"/>
    <xf numFmtId="2" fontId="6" fillId="7" borderId="1" xfId="0" applyNumberFormat="1" applyFont="1" applyFill="1" applyBorder="1"/>
    <xf numFmtId="2" fontId="6" fillId="7" borderId="1" xfId="0" applyNumberFormat="1" applyFont="1" applyFill="1" applyBorder="1" applyAlignment="1">
      <alignment horizontal="center"/>
    </xf>
    <xf numFmtId="2" fontId="1" fillId="8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1F25-FB92-4B75-B2AB-DFCEC1EB7360}">
  <sheetPr>
    <pageSetUpPr fitToPage="1"/>
  </sheetPr>
  <dimension ref="A1:L12"/>
  <sheetViews>
    <sheetView tabSelected="1" workbookViewId="0">
      <selection activeCell="M6" sqref="M6"/>
    </sheetView>
  </sheetViews>
  <sheetFormatPr defaultRowHeight="14.4" x14ac:dyDescent="0.3"/>
  <cols>
    <col min="1" max="1" width="5" customWidth="1"/>
    <col min="2" max="2" width="15.33203125" customWidth="1"/>
    <col min="3" max="3" width="12.88671875" bestFit="1" customWidth="1"/>
    <col min="8" max="8" width="11" customWidth="1"/>
    <col min="10" max="10" width="10" customWidth="1"/>
    <col min="11" max="11" width="11.109375" customWidth="1"/>
  </cols>
  <sheetData>
    <row r="1" spans="1:12" ht="29.25" customHeight="1" x14ac:dyDescent="0.6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2" x14ac:dyDescent="0.3">
      <c r="A2" s="4" t="s">
        <v>1</v>
      </c>
      <c r="B2" s="4" t="s">
        <v>2</v>
      </c>
      <c r="C2" s="4" t="s">
        <v>13</v>
      </c>
      <c r="D2" s="4" t="s">
        <v>20</v>
      </c>
      <c r="E2" s="4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4" t="s">
        <v>26</v>
      </c>
      <c r="K2" s="4" t="s">
        <v>27</v>
      </c>
    </row>
    <row r="3" spans="1:12" x14ac:dyDescent="0.3">
      <c r="A3" s="1">
        <v>1</v>
      </c>
      <c r="B3" s="7" t="s">
        <v>3</v>
      </c>
      <c r="C3" s="1" t="s">
        <v>14</v>
      </c>
      <c r="D3" s="2">
        <v>15000</v>
      </c>
      <c r="E3" s="2">
        <v>3000</v>
      </c>
      <c r="F3" s="2">
        <v>3750</v>
      </c>
      <c r="G3" s="2">
        <v>750</v>
      </c>
      <c r="H3" s="8">
        <f t="shared" ref="H3:H12" si="0">SUM(D3:G3)</f>
        <v>22500</v>
      </c>
      <c r="I3" s="10">
        <f t="shared" ref="I3:I12" si="1">H3/8</f>
        <v>2812.5</v>
      </c>
      <c r="J3" s="11">
        <f t="shared" ref="J3:J12" si="2">H3*3%</f>
        <v>675</v>
      </c>
      <c r="K3" s="12">
        <f t="shared" ref="K3:K12" si="3">H3-I3-J3</f>
        <v>19012.5</v>
      </c>
    </row>
    <row r="4" spans="1:12" x14ac:dyDescent="0.3">
      <c r="A4" s="1">
        <v>2</v>
      </c>
      <c r="B4" s="7" t="s">
        <v>4</v>
      </c>
      <c r="C4" s="3" t="s">
        <v>15</v>
      </c>
      <c r="D4" s="2">
        <v>10000</v>
      </c>
      <c r="E4" s="2">
        <v>2000</v>
      </c>
      <c r="F4" s="2">
        <v>2500</v>
      </c>
      <c r="G4" s="2">
        <v>500</v>
      </c>
      <c r="H4" s="8">
        <f t="shared" si="0"/>
        <v>15000</v>
      </c>
      <c r="I4" s="10">
        <f t="shared" si="1"/>
        <v>1875</v>
      </c>
      <c r="J4" s="11">
        <f t="shared" si="2"/>
        <v>450</v>
      </c>
      <c r="K4" s="12">
        <f t="shared" si="3"/>
        <v>12675</v>
      </c>
    </row>
    <row r="5" spans="1:12" x14ac:dyDescent="0.3">
      <c r="A5" s="1">
        <v>3</v>
      </c>
      <c r="B5" s="7" t="s">
        <v>5</v>
      </c>
      <c r="C5" s="1" t="s">
        <v>16</v>
      </c>
      <c r="D5" s="2">
        <v>8000</v>
      </c>
      <c r="E5" s="2">
        <v>1600</v>
      </c>
      <c r="F5" s="2">
        <v>2000</v>
      </c>
      <c r="G5" s="2">
        <v>400</v>
      </c>
      <c r="H5" s="8">
        <f t="shared" si="0"/>
        <v>12000</v>
      </c>
      <c r="I5" s="10">
        <f t="shared" si="1"/>
        <v>1500</v>
      </c>
      <c r="J5" s="11">
        <f t="shared" si="2"/>
        <v>360</v>
      </c>
      <c r="K5" s="12">
        <f t="shared" si="3"/>
        <v>10140</v>
      </c>
    </row>
    <row r="6" spans="1:12" x14ac:dyDescent="0.3">
      <c r="A6" s="1">
        <v>4</v>
      </c>
      <c r="B6" s="7" t="s">
        <v>6</v>
      </c>
      <c r="C6" s="1" t="s">
        <v>17</v>
      </c>
      <c r="D6" s="2">
        <v>7000</v>
      </c>
      <c r="E6" s="2">
        <v>1400</v>
      </c>
      <c r="F6" s="2">
        <v>1750</v>
      </c>
      <c r="G6" s="2">
        <v>350</v>
      </c>
      <c r="H6" s="8">
        <f t="shared" si="0"/>
        <v>10500</v>
      </c>
      <c r="I6" s="10">
        <f t="shared" si="1"/>
        <v>1312.5</v>
      </c>
      <c r="J6" s="11">
        <f t="shared" si="2"/>
        <v>315</v>
      </c>
      <c r="K6" s="12">
        <f t="shared" si="3"/>
        <v>8872.5</v>
      </c>
      <c r="L6" s="9"/>
    </row>
    <row r="7" spans="1:12" x14ac:dyDescent="0.3">
      <c r="A7" s="1">
        <v>5</v>
      </c>
      <c r="B7" s="7" t="s">
        <v>7</v>
      </c>
      <c r="C7" s="1" t="s">
        <v>14</v>
      </c>
      <c r="D7" s="2">
        <v>18000</v>
      </c>
      <c r="E7" s="2">
        <v>3600</v>
      </c>
      <c r="F7" s="2">
        <v>4500</v>
      </c>
      <c r="G7" s="2">
        <v>900</v>
      </c>
      <c r="H7" s="8">
        <f t="shared" si="0"/>
        <v>27000</v>
      </c>
      <c r="I7" s="10">
        <f t="shared" si="1"/>
        <v>3375</v>
      </c>
      <c r="J7" s="11">
        <f t="shared" si="2"/>
        <v>810</v>
      </c>
      <c r="K7" s="12">
        <f t="shared" si="3"/>
        <v>22815</v>
      </c>
    </row>
    <row r="8" spans="1:12" x14ac:dyDescent="0.3">
      <c r="A8" s="1">
        <v>6</v>
      </c>
      <c r="B8" s="7" t="s">
        <v>8</v>
      </c>
      <c r="C8" s="1" t="s">
        <v>18</v>
      </c>
      <c r="D8" s="2">
        <v>9000</v>
      </c>
      <c r="E8" s="2">
        <v>1800</v>
      </c>
      <c r="F8" s="2">
        <v>2250</v>
      </c>
      <c r="G8" s="2">
        <v>450</v>
      </c>
      <c r="H8" s="8">
        <f t="shared" si="0"/>
        <v>13500</v>
      </c>
      <c r="I8" s="10">
        <f t="shared" si="1"/>
        <v>1687.5</v>
      </c>
      <c r="J8" s="11">
        <f t="shared" si="2"/>
        <v>405</v>
      </c>
      <c r="K8" s="12">
        <f t="shared" si="3"/>
        <v>11407.5</v>
      </c>
    </row>
    <row r="9" spans="1:12" x14ac:dyDescent="0.3">
      <c r="A9" s="1">
        <v>7</v>
      </c>
      <c r="B9" s="7" t="s">
        <v>9</v>
      </c>
      <c r="C9" s="1" t="s">
        <v>17</v>
      </c>
      <c r="D9" s="2">
        <v>8000</v>
      </c>
      <c r="E9" s="2">
        <v>1600</v>
      </c>
      <c r="F9" s="2">
        <v>2000</v>
      </c>
      <c r="G9" s="2">
        <v>4000</v>
      </c>
      <c r="H9" s="8">
        <f t="shared" si="0"/>
        <v>15600</v>
      </c>
      <c r="I9" s="10">
        <f t="shared" si="1"/>
        <v>1950</v>
      </c>
      <c r="J9" s="11">
        <f t="shared" si="2"/>
        <v>468</v>
      </c>
      <c r="K9" s="12">
        <f t="shared" si="3"/>
        <v>13182</v>
      </c>
    </row>
    <row r="10" spans="1:12" x14ac:dyDescent="0.3">
      <c r="A10" s="1">
        <v>8</v>
      </c>
      <c r="B10" s="7" t="s">
        <v>10</v>
      </c>
      <c r="C10" s="1" t="s">
        <v>16</v>
      </c>
      <c r="D10" s="2">
        <v>9000</v>
      </c>
      <c r="E10" s="2">
        <v>1800</v>
      </c>
      <c r="F10" s="2">
        <v>2250</v>
      </c>
      <c r="G10" s="2">
        <v>450</v>
      </c>
      <c r="H10" s="8">
        <f t="shared" si="0"/>
        <v>13500</v>
      </c>
      <c r="I10" s="10">
        <f t="shared" si="1"/>
        <v>1687.5</v>
      </c>
      <c r="J10" s="11">
        <f t="shared" si="2"/>
        <v>405</v>
      </c>
      <c r="K10" s="12">
        <f t="shared" si="3"/>
        <v>11407.5</v>
      </c>
    </row>
    <row r="11" spans="1:12" x14ac:dyDescent="0.3">
      <c r="A11" s="1">
        <v>9</v>
      </c>
      <c r="B11" s="7" t="s">
        <v>11</v>
      </c>
      <c r="C11" s="1" t="s">
        <v>15</v>
      </c>
      <c r="D11" s="2">
        <v>13000</v>
      </c>
      <c r="E11" s="2">
        <v>2600</v>
      </c>
      <c r="F11" s="2">
        <v>3250</v>
      </c>
      <c r="G11" s="2">
        <v>650</v>
      </c>
      <c r="H11" s="8">
        <f t="shared" si="0"/>
        <v>19500</v>
      </c>
      <c r="I11" s="10">
        <f t="shared" si="1"/>
        <v>2437.5</v>
      </c>
      <c r="J11" s="11">
        <f t="shared" si="2"/>
        <v>585</v>
      </c>
      <c r="K11" s="12">
        <f t="shared" si="3"/>
        <v>16477.5</v>
      </c>
    </row>
    <row r="12" spans="1:12" x14ac:dyDescent="0.3">
      <c r="A12" s="1">
        <v>10</v>
      </c>
      <c r="B12" s="7" t="s">
        <v>12</v>
      </c>
      <c r="C12" s="1" t="s">
        <v>19</v>
      </c>
      <c r="D12" s="2">
        <v>3500</v>
      </c>
      <c r="E12" s="2">
        <v>700</v>
      </c>
      <c r="F12" s="2">
        <v>875</v>
      </c>
      <c r="G12" s="2">
        <v>175</v>
      </c>
      <c r="H12" s="8">
        <f t="shared" si="0"/>
        <v>5250</v>
      </c>
      <c r="I12" s="10">
        <f t="shared" si="1"/>
        <v>656.25</v>
      </c>
      <c r="J12" s="11">
        <f t="shared" si="2"/>
        <v>157.5</v>
      </c>
      <c r="K12" s="12">
        <f t="shared" si="3"/>
        <v>4436.25</v>
      </c>
    </row>
  </sheetData>
  <mergeCells count="1">
    <mergeCell ref="A1:K1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2026-06-18T16:43:28Z</cp:lastPrinted>
  <dcterms:created xsi:type="dcterms:W3CDTF">2026-05-28T10:25:34Z</dcterms:created>
  <dcterms:modified xsi:type="dcterms:W3CDTF">2026-06-18T16:43:32Z</dcterms:modified>
</cp:coreProperties>
</file>