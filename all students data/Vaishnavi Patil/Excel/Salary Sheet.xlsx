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9\All Sudents Data\Vaishnavi Patil\Excel\"/>
    </mc:Choice>
  </mc:AlternateContent>
  <xr:revisionPtr revIDLastSave="0" documentId="13_ncr:1_{9B40F795-62D3-441F-97FB-54491CE2A2EE}" xr6:coauthVersionLast="36" xr6:coauthVersionMax="36" xr10:uidLastSave="{00000000-0000-0000-0000-000000000000}"/>
  <bookViews>
    <workbookView xWindow="0" yWindow="0" windowWidth="20490" windowHeight="7545" xr2:uid="{A148D4AE-C359-485F-8007-267ED017D3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" i="1" l="1"/>
  <c r="K5" i="1"/>
  <c r="K6" i="1"/>
  <c r="K7" i="1"/>
  <c r="K8" i="1"/>
  <c r="K9" i="1"/>
  <c r="K10" i="1"/>
  <c r="K11" i="1"/>
  <c r="K12" i="1"/>
  <c r="K3" i="1"/>
  <c r="J12" i="1"/>
  <c r="J4" i="1"/>
  <c r="J5" i="1"/>
  <c r="J6" i="1"/>
  <c r="J7" i="1"/>
  <c r="J8" i="1"/>
  <c r="J9" i="1"/>
  <c r="J10" i="1"/>
  <c r="J11" i="1"/>
  <c r="J3" i="1"/>
  <c r="I4" i="1"/>
  <c r="I5" i="1"/>
  <c r="I6" i="1"/>
  <c r="I7" i="1"/>
  <c r="I8" i="1"/>
  <c r="I9" i="1"/>
  <c r="I10" i="1"/>
  <c r="I11" i="1"/>
  <c r="I12" i="1"/>
  <c r="I3" i="1"/>
  <c r="E6" i="1"/>
  <c r="G3" i="1"/>
  <c r="G4" i="1"/>
  <c r="G5" i="1"/>
  <c r="H5" i="1" s="1"/>
  <c r="G6" i="1"/>
  <c r="G7" i="1"/>
  <c r="G8" i="1"/>
  <c r="G9" i="1"/>
  <c r="G10" i="1"/>
  <c r="G11" i="1"/>
  <c r="G12" i="1"/>
  <c r="F4" i="1"/>
  <c r="F5" i="1"/>
  <c r="F6" i="1"/>
  <c r="F7" i="1"/>
  <c r="F8" i="1"/>
  <c r="F9" i="1"/>
  <c r="F10" i="1"/>
  <c r="F11" i="1"/>
  <c r="F12" i="1"/>
  <c r="F3" i="1"/>
  <c r="E4" i="1"/>
  <c r="H4" i="1" s="1"/>
  <c r="E5" i="1"/>
  <c r="E7" i="1"/>
  <c r="H7" i="1" s="1"/>
  <c r="E8" i="1"/>
  <c r="E9" i="1"/>
  <c r="H9" i="1" s="1"/>
  <c r="E10" i="1"/>
  <c r="E11" i="1"/>
  <c r="H11" i="1" s="1"/>
  <c r="E12" i="1"/>
  <c r="E3" i="1"/>
  <c r="H3" i="1" s="1"/>
  <c r="H12" i="1" l="1"/>
  <c r="H10" i="1"/>
  <c r="H8" i="1"/>
  <c r="H6" i="1"/>
</calcChain>
</file>

<file path=xl/sharedStrings.xml><?xml version="1.0" encoding="utf-8"?>
<sst xmlns="http://schemas.openxmlformats.org/spreadsheetml/2006/main" count="32" uniqueCount="28">
  <si>
    <t>SALARY SHEET MARCH 2026</t>
  </si>
  <si>
    <t>Sr No</t>
  </si>
  <si>
    <t>Name</t>
  </si>
  <si>
    <t>Post</t>
  </si>
  <si>
    <t>Rahul Sangit</t>
  </si>
  <si>
    <t>Nilesh Pimpale</t>
  </si>
  <si>
    <t xml:space="preserve">Sushant Dere </t>
  </si>
  <si>
    <t>Vikas Potphode</t>
  </si>
  <si>
    <t>Jayant Dhumal</t>
  </si>
  <si>
    <t>Ganesh Pathare</t>
  </si>
  <si>
    <t>Govind More</t>
  </si>
  <si>
    <t>Ashok Mane</t>
  </si>
  <si>
    <t>Shashank Gupte</t>
  </si>
  <si>
    <t>Ganesh Ladkat</t>
  </si>
  <si>
    <t>Basic</t>
  </si>
  <si>
    <t>DA</t>
  </si>
  <si>
    <t>HRA</t>
  </si>
  <si>
    <t>TA</t>
  </si>
  <si>
    <t>Gross Pay</t>
  </si>
  <si>
    <t>P.F.</t>
  </si>
  <si>
    <t>ESI</t>
  </si>
  <si>
    <t>NET PAY</t>
  </si>
  <si>
    <t>Manager</t>
  </si>
  <si>
    <t>Accountant</t>
  </si>
  <si>
    <t>Salesman</t>
  </si>
  <si>
    <t>Officer</t>
  </si>
  <si>
    <t>Asst Manager</t>
  </si>
  <si>
    <t>Helper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</si>
</sst>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35"/>
      <color theme="1"/>
      <name val="ASOT-Bidisha"/>
    </font>
    <font>
      <b/>
      <sz val="1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2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A44FD-D407-4D48-B629-CEA229C894E6}">
  <dimension ref="A1:K12"/>
  <sheetViews>
    <sheetView tabSelected="1" workbookViewId="0">
      <selection activeCell="M9" sqref="M9"/>
    </sheetView>
  </sheetViews>
  <sheetFormatPr defaultRowHeight="15" x14ac:dyDescent="0.25"/>
  <cols>
    <col min="2" max="2" width="23.42578125" customWidth="1"/>
    <col min="3" max="3" width="19.5703125" customWidth="1"/>
    <col min="4" max="4" width="15.85546875" customWidth="1"/>
    <col min="5" max="5" width="14.7109375" customWidth="1"/>
    <col min="6" max="6" width="15.28515625" customWidth="1"/>
    <col min="7" max="7" width="14.5703125" customWidth="1"/>
    <col min="8" max="8" width="16" customWidth="1"/>
    <col min="9" max="9" width="14.85546875" customWidth="1"/>
    <col min="10" max="10" width="14.42578125" customWidth="1"/>
    <col min="11" max="11" width="15.42578125" customWidth="1"/>
  </cols>
  <sheetData>
    <row r="1" spans="1:11" ht="60.75" customHeight="1" x14ac:dyDescent="0.2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5"/>
    </row>
    <row r="2" spans="1:11" ht="22.5" customHeight="1" x14ac:dyDescent="0.25">
      <c r="A2" s="2" t="s">
        <v>1</v>
      </c>
      <c r="B2" s="2" t="s">
        <v>2</v>
      </c>
      <c r="C2" s="2" t="s">
        <v>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 ht="19.5" x14ac:dyDescent="0.3">
      <c r="A3" s="2">
        <v>1</v>
      </c>
      <c r="B3" s="1" t="s">
        <v>4</v>
      </c>
      <c r="C3" s="1" t="s">
        <v>22</v>
      </c>
      <c r="D3" s="7">
        <v>15000</v>
      </c>
      <c r="E3" s="7">
        <f>D3*20%</f>
        <v>3000</v>
      </c>
      <c r="F3" s="7">
        <f>D3*25%</f>
        <v>3750</v>
      </c>
      <c r="G3" s="7">
        <f>D3*5%</f>
        <v>750</v>
      </c>
      <c r="H3" s="6">
        <f>D3+E3+F3+G3</f>
        <v>22500</v>
      </c>
      <c r="I3" s="6">
        <f>D3 * 0.1875</f>
        <v>2812.5</v>
      </c>
      <c r="J3" s="6">
        <f>D3*4.5%</f>
        <v>675</v>
      </c>
      <c r="K3" s="6">
        <f>D3+E3+F3+G3-I3-J3</f>
        <v>19012.5</v>
      </c>
    </row>
    <row r="4" spans="1:11" ht="19.5" x14ac:dyDescent="0.3">
      <c r="A4" s="2">
        <v>2</v>
      </c>
      <c r="B4" s="1" t="s">
        <v>5</v>
      </c>
      <c r="C4" s="1" t="s">
        <v>23</v>
      </c>
      <c r="D4" s="7">
        <v>10000</v>
      </c>
      <c r="E4" s="7">
        <f t="shared" ref="E4:E12" si="0">D4*20%</f>
        <v>2000</v>
      </c>
      <c r="F4" s="7">
        <f t="shared" ref="F4:F12" si="1">D4*25%</f>
        <v>2500</v>
      </c>
      <c r="G4" s="7">
        <f t="shared" ref="G4:G12" si="2">D4*5%</f>
        <v>500</v>
      </c>
      <c r="H4" s="6">
        <f t="shared" ref="H4:H12" si="3">D4+E4+F4+G4</f>
        <v>15000</v>
      </c>
      <c r="I4" s="6">
        <f t="shared" ref="I4:I12" si="4">D4 * 0.1875</f>
        <v>1875</v>
      </c>
      <c r="J4" s="6">
        <f t="shared" ref="J4:J12" si="5">D4*4.5%</f>
        <v>450</v>
      </c>
      <c r="K4" s="6">
        <f t="shared" ref="K4:K12" si="6">D4+E4+F4+G4-I4-J4</f>
        <v>12675</v>
      </c>
    </row>
    <row r="5" spans="1:11" ht="19.5" x14ac:dyDescent="0.3">
      <c r="A5" s="2">
        <v>3</v>
      </c>
      <c r="B5" s="1" t="s">
        <v>6</v>
      </c>
      <c r="C5" s="1" t="s">
        <v>24</v>
      </c>
      <c r="D5" s="7">
        <v>8000</v>
      </c>
      <c r="E5" s="7">
        <f t="shared" si="0"/>
        <v>1600</v>
      </c>
      <c r="F5" s="7">
        <f t="shared" si="1"/>
        <v>2000</v>
      </c>
      <c r="G5" s="7">
        <f t="shared" si="2"/>
        <v>400</v>
      </c>
      <c r="H5" s="6">
        <f t="shared" si="3"/>
        <v>12000</v>
      </c>
      <c r="I5" s="6">
        <f t="shared" si="4"/>
        <v>1500</v>
      </c>
      <c r="J5" s="6">
        <f t="shared" si="5"/>
        <v>360</v>
      </c>
      <c r="K5" s="6">
        <f t="shared" si="6"/>
        <v>10140</v>
      </c>
    </row>
    <row r="6" spans="1:11" ht="19.5" x14ac:dyDescent="0.3">
      <c r="A6" s="2">
        <v>4</v>
      </c>
      <c r="B6" s="1" t="s">
        <v>7</v>
      </c>
      <c r="C6" s="1" t="s">
        <v>25</v>
      </c>
      <c r="D6" s="7">
        <v>7000</v>
      </c>
      <c r="E6" s="7">
        <f>D6*20%</f>
        <v>1400</v>
      </c>
      <c r="F6" s="7">
        <f t="shared" si="1"/>
        <v>1750</v>
      </c>
      <c r="G6" s="7">
        <f t="shared" si="2"/>
        <v>350</v>
      </c>
      <c r="H6" s="6">
        <f t="shared" si="3"/>
        <v>10500</v>
      </c>
      <c r="I6" s="6">
        <f t="shared" si="4"/>
        <v>1312.5</v>
      </c>
      <c r="J6" s="6">
        <f t="shared" si="5"/>
        <v>315</v>
      </c>
      <c r="K6" s="6">
        <f t="shared" si="6"/>
        <v>8872.5</v>
      </c>
    </row>
    <row r="7" spans="1:11" ht="19.5" x14ac:dyDescent="0.3">
      <c r="A7" s="2">
        <v>5</v>
      </c>
      <c r="B7" s="1" t="s">
        <v>8</v>
      </c>
      <c r="C7" s="1" t="s">
        <v>22</v>
      </c>
      <c r="D7" s="7">
        <v>18000</v>
      </c>
      <c r="E7" s="7">
        <f t="shared" si="0"/>
        <v>3600</v>
      </c>
      <c r="F7" s="7">
        <f t="shared" si="1"/>
        <v>4500</v>
      </c>
      <c r="G7" s="7">
        <f t="shared" si="2"/>
        <v>900</v>
      </c>
      <c r="H7" s="6">
        <f t="shared" si="3"/>
        <v>27000</v>
      </c>
      <c r="I7" s="6">
        <f t="shared" si="4"/>
        <v>3375</v>
      </c>
      <c r="J7" s="6">
        <f t="shared" si="5"/>
        <v>810</v>
      </c>
      <c r="K7" s="6">
        <f t="shared" si="6"/>
        <v>22815</v>
      </c>
    </row>
    <row r="8" spans="1:11" ht="19.5" x14ac:dyDescent="0.3">
      <c r="A8" s="2">
        <v>6</v>
      </c>
      <c r="B8" s="1" t="s">
        <v>9</v>
      </c>
      <c r="C8" s="1" t="s">
        <v>26</v>
      </c>
      <c r="D8" s="7">
        <v>9000</v>
      </c>
      <c r="E8" s="7">
        <f t="shared" si="0"/>
        <v>1800</v>
      </c>
      <c r="F8" s="7">
        <f t="shared" si="1"/>
        <v>2250</v>
      </c>
      <c r="G8" s="7">
        <f t="shared" si="2"/>
        <v>450</v>
      </c>
      <c r="H8" s="6">
        <f t="shared" si="3"/>
        <v>13500</v>
      </c>
      <c r="I8" s="6">
        <f t="shared" si="4"/>
        <v>1687.5</v>
      </c>
      <c r="J8" s="6">
        <f t="shared" si="5"/>
        <v>405</v>
      </c>
      <c r="K8" s="6">
        <f t="shared" si="6"/>
        <v>11407.5</v>
      </c>
    </row>
    <row r="9" spans="1:11" ht="19.5" x14ac:dyDescent="0.3">
      <c r="A9" s="2">
        <v>7</v>
      </c>
      <c r="B9" s="1" t="s">
        <v>10</v>
      </c>
      <c r="C9" s="1" t="s">
        <v>25</v>
      </c>
      <c r="D9" s="7">
        <v>8000</v>
      </c>
      <c r="E9" s="7">
        <f t="shared" si="0"/>
        <v>1600</v>
      </c>
      <c r="F9" s="7">
        <f t="shared" si="1"/>
        <v>2000</v>
      </c>
      <c r="G9" s="7">
        <f t="shared" si="2"/>
        <v>400</v>
      </c>
      <c r="H9" s="6">
        <f t="shared" si="3"/>
        <v>12000</v>
      </c>
      <c r="I9" s="6">
        <f t="shared" si="4"/>
        <v>1500</v>
      </c>
      <c r="J9" s="6">
        <f t="shared" si="5"/>
        <v>360</v>
      </c>
      <c r="K9" s="6">
        <f t="shared" si="6"/>
        <v>10140</v>
      </c>
    </row>
    <row r="10" spans="1:11" ht="19.5" x14ac:dyDescent="0.3">
      <c r="A10" s="2">
        <v>8</v>
      </c>
      <c r="B10" s="1" t="s">
        <v>11</v>
      </c>
      <c r="C10" s="1" t="s">
        <v>24</v>
      </c>
      <c r="D10" s="7">
        <v>9000</v>
      </c>
      <c r="E10" s="7">
        <f t="shared" si="0"/>
        <v>1800</v>
      </c>
      <c r="F10" s="7">
        <f t="shared" si="1"/>
        <v>2250</v>
      </c>
      <c r="G10" s="7">
        <f t="shared" si="2"/>
        <v>450</v>
      </c>
      <c r="H10" s="6">
        <f t="shared" si="3"/>
        <v>13500</v>
      </c>
      <c r="I10" s="6">
        <f t="shared" si="4"/>
        <v>1687.5</v>
      </c>
      <c r="J10" s="6">
        <f t="shared" si="5"/>
        <v>405</v>
      </c>
      <c r="K10" s="6">
        <f t="shared" si="6"/>
        <v>11407.5</v>
      </c>
    </row>
    <row r="11" spans="1:11" ht="19.5" x14ac:dyDescent="0.3">
      <c r="A11" s="2">
        <v>9</v>
      </c>
      <c r="B11" s="1" t="s">
        <v>12</v>
      </c>
      <c r="C11" s="1" t="s">
        <v>23</v>
      </c>
      <c r="D11" s="7">
        <v>13000</v>
      </c>
      <c r="E11" s="7">
        <f t="shared" si="0"/>
        <v>2600</v>
      </c>
      <c r="F11" s="7">
        <f t="shared" si="1"/>
        <v>3250</v>
      </c>
      <c r="G11" s="7">
        <f t="shared" si="2"/>
        <v>650</v>
      </c>
      <c r="H11" s="6">
        <f t="shared" si="3"/>
        <v>19500</v>
      </c>
      <c r="I11" s="6">
        <f t="shared" si="4"/>
        <v>2437.5</v>
      </c>
      <c r="J11" s="6">
        <f t="shared" si="5"/>
        <v>585</v>
      </c>
      <c r="K11" s="6">
        <f t="shared" si="6"/>
        <v>16477.5</v>
      </c>
    </row>
    <row r="12" spans="1:11" ht="19.5" x14ac:dyDescent="0.3">
      <c r="A12" s="2">
        <v>10</v>
      </c>
      <c r="B12" s="1" t="s">
        <v>13</v>
      </c>
      <c r="C12" s="1" t="s">
        <v>27</v>
      </c>
      <c r="D12" s="7">
        <v>3500</v>
      </c>
      <c r="E12" s="7">
        <f t="shared" si="0"/>
        <v>700</v>
      </c>
      <c r="F12" s="7">
        <f t="shared" si="1"/>
        <v>875</v>
      </c>
      <c r="G12" s="6">
        <f t="shared" si="2"/>
        <v>175</v>
      </c>
      <c r="H12" s="6">
        <f t="shared" si="3"/>
        <v>5250</v>
      </c>
      <c r="I12" s="6">
        <f t="shared" si="4"/>
        <v>656.25</v>
      </c>
      <c r="J12" s="6">
        <f>D12*4.5%</f>
        <v>157.5</v>
      </c>
      <c r="K12" s="6">
        <f t="shared" si="6"/>
        <v>4436.25</v>
      </c>
    </row>
  </sheetData>
  <mergeCells count="1">
    <mergeCell ref="A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Administrator</cp:lastModifiedBy>
  <dcterms:created xsi:type="dcterms:W3CDTF">2026-05-30T05:38:49Z</dcterms:created>
  <dcterms:modified xsi:type="dcterms:W3CDTF">2026-05-31T05:02:43Z</dcterms:modified>
</cp:coreProperties>
</file>