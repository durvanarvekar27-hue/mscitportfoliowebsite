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Mahek Sarfaraz Shaikh\Excel\"/>
    </mc:Choice>
  </mc:AlternateContent>
  <xr:revisionPtr revIDLastSave="0" documentId="13_ncr:1_{7A80750E-4A57-4619-BC87-8F7227C29F9E}" xr6:coauthVersionLast="36" xr6:coauthVersionMax="36" xr10:uidLastSave="{00000000-0000-0000-0000-000000000000}"/>
  <bookViews>
    <workbookView xWindow="0" yWindow="0" windowWidth="20490" windowHeight="6645" xr2:uid="{A4580BE1-24E4-49A0-9869-6084784A9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4" i="1"/>
  <c r="J5" i="1"/>
  <c r="J6" i="1"/>
  <c r="J7" i="1"/>
  <c r="J8" i="1"/>
  <c r="J9" i="1"/>
  <c r="J10" i="1"/>
  <c r="J11" i="1"/>
  <c r="J12" i="1"/>
  <c r="J13" i="1"/>
  <c r="J4" i="1"/>
  <c r="I5" i="1"/>
  <c r="I6" i="1"/>
  <c r="I7" i="1"/>
  <c r="I8" i="1"/>
  <c r="I9" i="1"/>
  <c r="I10" i="1"/>
  <c r="I11" i="1"/>
  <c r="I12" i="1"/>
  <c r="I13" i="1"/>
  <c r="I4" i="1"/>
  <c r="H5" i="1"/>
  <c r="H6" i="1"/>
  <c r="H7" i="1"/>
  <c r="H8" i="1"/>
  <c r="H9" i="1"/>
  <c r="H10" i="1"/>
  <c r="H11" i="1"/>
  <c r="H12" i="1"/>
  <c r="H13" i="1"/>
  <c r="H4" i="1"/>
  <c r="G5" i="1"/>
  <c r="G6" i="1"/>
  <c r="G7" i="1"/>
  <c r="G8" i="1"/>
  <c r="G9" i="1"/>
  <c r="G10" i="1"/>
  <c r="G11" i="1"/>
  <c r="G12" i="1"/>
  <c r="G13" i="1"/>
  <c r="G4" i="1"/>
  <c r="F5" i="1"/>
  <c r="F6" i="1"/>
  <c r="F7" i="1"/>
  <c r="F8" i="1"/>
  <c r="F9" i="1"/>
  <c r="F10" i="1"/>
  <c r="F11" i="1"/>
  <c r="F12" i="1"/>
  <c r="F13" i="1"/>
  <c r="F4" i="1"/>
  <c r="E5" i="1"/>
  <c r="E6" i="1"/>
  <c r="E7" i="1"/>
  <c r="E8" i="1"/>
  <c r="E9" i="1"/>
  <c r="E10" i="1"/>
  <c r="E11" i="1"/>
  <c r="E12" i="1"/>
  <c r="E13" i="1"/>
  <c r="E4" i="1"/>
</calcChain>
</file>

<file path=xl/sharedStrings.xml><?xml version="1.0" encoding="utf-8"?>
<sst xmlns="http://schemas.openxmlformats.org/spreadsheetml/2006/main" count="32" uniqueCount="28">
  <si>
    <t>Name</t>
  </si>
  <si>
    <t>Id No.</t>
  </si>
  <si>
    <t>Post</t>
  </si>
  <si>
    <t>Basic</t>
  </si>
  <si>
    <t>DA</t>
  </si>
  <si>
    <t>HRA</t>
  </si>
  <si>
    <t>TA</t>
  </si>
  <si>
    <t>GROSS PAY</t>
  </si>
  <si>
    <t>ESI</t>
  </si>
  <si>
    <t>NET PAY</t>
  </si>
  <si>
    <t>P.F.</t>
  </si>
  <si>
    <t>SALARY SHEET MARCH 2014</t>
  </si>
  <si>
    <t>Rahul Sangit</t>
  </si>
  <si>
    <t>Nilesh Pimple</t>
  </si>
  <si>
    <t>Sushant Dare</t>
  </si>
  <si>
    <t>Vikas Potphode</t>
  </si>
  <si>
    <t>Jayant Dhumal</t>
  </si>
  <si>
    <t>Ganesh Pathare</t>
  </si>
  <si>
    <t>Govind More</t>
  </si>
  <si>
    <t>Ashok mane</t>
  </si>
  <si>
    <t>Shashank Gupte</t>
  </si>
  <si>
    <t>Ganesh Ladkat</t>
  </si>
  <si>
    <t>Manager</t>
  </si>
  <si>
    <t>Accountant</t>
  </si>
  <si>
    <t>Salesman</t>
  </si>
  <si>
    <t>Officer</t>
  </si>
  <si>
    <t>Asst. Manager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</si>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</sst>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/>
    <xf numFmtId="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D2E4-0865-4F0D-A18A-8437D42CB9FD}">
  <dimension ref="A1:K13"/>
  <sheetViews>
    <sheetView tabSelected="1" workbookViewId="0">
      <selection activeCell="L4" sqref="L4"/>
    </sheetView>
  </sheetViews>
  <sheetFormatPr defaultRowHeight="15" x14ac:dyDescent="0.25"/>
  <cols>
    <col min="1" max="1" width="7.42578125" customWidth="1"/>
    <col min="2" max="2" width="24" customWidth="1"/>
    <col min="3" max="3" width="13" customWidth="1"/>
    <col min="4" max="5" width="11.85546875" customWidth="1"/>
    <col min="6" max="6" width="11.140625" customWidth="1"/>
    <col min="7" max="8" width="10.42578125" customWidth="1"/>
    <col min="9" max="9" width="10" customWidth="1"/>
    <col min="10" max="10" width="9.7109375" customWidth="1"/>
    <col min="11" max="11" width="10.85546875" customWidth="1"/>
  </cols>
  <sheetData>
    <row r="1" spans="1:11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2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.75" customHeight="1" x14ac:dyDescent="0.25">
      <c r="A3" s="2" t="s">
        <v>1</v>
      </c>
      <c r="B3" s="2" t="s">
        <v>0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10</v>
      </c>
      <c r="J3" s="2" t="s">
        <v>8</v>
      </c>
      <c r="K3" s="2" t="s">
        <v>9</v>
      </c>
    </row>
    <row r="4" spans="1:11" x14ac:dyDescent="0.25">
      <c r="A4" s="3">
        <v>1</v>
      </c>
      <c r="B4" s="3" t="s">
        <v>12</v>
      </c>
      <c r="C4" s="3" t="s">
        <v>22</v>
      </c>
      <c r="D4" s="4">
        <v>15000</v>
      </c>
      <c r="E4" s="4">
        <f xml:space="preserve"> D4*0.2</f>
        <v>3000</v>
      </c>
      <c r="F4" s="4">
        <f>D4*0.25</f>
        <v>3750</v>
      </c>
      <c r="G4" s="4">
        <f>D4*0.05</f>
        <v>750</v>
      </c>
      <c r="H4" s="4">
        <f>SUM(D4:G4)</f>
        <v>22500</v>
      </c>
      <c r="I4" s="4">
        <f>H4*0.125</f>
        <v>2812.5</v>
      </c>
      <c r="J4" s="4">
        <f>H4*0.03</f>
        <v>675</v>
      </c>
      <c r="K4" s="4">
        <f>H4-(I4+J4)</f>
        <v>19012.5</v>
      </c>
    </row>
    <row r="5" spans="1:11" x14ac:dyDescent="0.25">
      <c r="A5" s="3">
        <v>2</v>
      </c>
      <c r="B5" s="3" t="s">
        <v>13</v>
      </c>
      <c r="C5" s="3" t="s">
        <v>23</v>
      </c>
      <c r="D5" s="4">
        <v>10000</v>
      </c>
      <c r="E5" s="4">
        <f t="shared" ref="E5:E13" si="0" xml:space="preserve"> D5*0.2</f>
        <v>2000</v>
      </c>
      <c r="F5" s="4">
        <f t="shared" ref="F5:F13" si="1">D5*0.25</f>
        <v>2500</v>
      </c>
      <c r="G5" s="4">
        <f t="shared" ref="G5:G13" si="2">D5*0.05</f>
        <v>500</v>
      </c>
      <c r="H5" s="4">
        <f t="shared" ref="H5:H13" si="3">SUM(D5:G5)</f>
        <v>15000</v>
      </c>
      <c r="I5" s="4">
        <f t="shared" ref="I5:I13" si="4">H5*0.125</f>
        <v>1875</v>
      </c>
      <c r="J5" s="4">
        <f t="shared" ref="J5:J13" si="5">H5*0.03</f>
        <v>450</v>
      </c>
      <c r="K5" s="4">
        <f t="shared" ref="K5:K13" si="6">H5-(I5+J5)</f>
        <v>12675</v>
      </c>
    </row>
    <row r="6" spans="1:11" x14ac:dyDescent="0.25">
      <c r="A6" s="3">
        <v>3</v>
      </c>
      <c r="B6" s="3" t="s">
        <v>14</v>
      </c>
      <c r="C6" s="3" t="s">
        <v>24</v>
      </c>
      <c r="D6" s="4">
        <v>8000</v>
      </c>
      <c r="E6" s="4">
        <f t="shared" si="0"/>
        <v>1600</v>
      </c>
      <c r="F6" s="4">
        <f t="shared" si="1"/>
        <v>2000</v>
      </c>
      <c r="G6" s="4">
        <f t="shared" si="2"/>
        <v>400</v>
      </c>
      <c r="H6" s="4">
        <f t="shared" si="3"/>
        <v>12000</v>
      </c>
      <c r="I6" s="4">
        <f t="shared" si="4"/>
        <v>1500</v>
      </c>
      <c r="J6" s="4">
        <f t="shared" si="5"/>
        <v>360</v>
      </c>
      <c r="K6" s="4">
        <f t="shared" si="6"/>
        <v>10140</v>
      </c>
    </row>
    <row r="7" spans="1:11" x14ac:dyDescent="0.25">
      <c r="A7" s="3">
        <v>4</v>
      </c>
      <c r="B7" s="3" t="s">
        <v>15</v>
      </c>
      <c r="C7" s="3" t="s">
        <v>25</v>
      </c>
      <c r="D7" s="4">
        <v>7000</v>
      </c>
      <c r="E7" s="4">
        <f t="shared" si="0"/>
        <v>1400</v>
      </c>
      <c r="F7" s="4">
        <f t="shared" si="1"/>
        <v>1750</v>
      </c>
      <c r="G7" s="4">
        <f t="shared" si="2"/>
        <v>350</v>
      </c>
      <c r="H7" s="4">
        <f t="shared" si="3"/>
        <v>10500</v>
      </c>
      <c r="I7" s="4">
        <f t="shared" si="4"/>
        <v>1312.5</v>
      </c>
      <c r="J7" s="4">
        <f t="shared" si="5"/>
        <v>315</v>
      </c>
      <c r="K7" s="4">
        <f t="shared" si="6"/>
        <v>8872.5</v>
      </c>
    </row>
    <row r="8" spans="1:11" x14ac:dyDescent="0.25">
      <c r="A8" s="3">
        <v>5</v>
      </c>
      <c r="B8" s="3" t="s">
        <v>16</v>
      </c>
      <c r="C8" s="3" t="s">
        <v>22</v>
      </c>
      <c r="D8" s="4">
        <v>18000</v>
      </c>
      <c r="E8" s="4">
        <f t="shared" si="0"/>
        <v>3600</v>
      </c>
      <c r="F8" s="4">
        <f t="shared" si="1"/>
        <v>4500</v>
      </c>
      <c r="G8" s="4">
        <f t="shared" si="2"/>
        <v>900</v>
      </c>
      <c r="H8" s="4">
        <f t="shared" si="3"/>
        <v>27000</v>
      </c>
      <c r="I8" s="4">
        <f t="shared" si="4"/>
        <v>3375</v>
      </c>
      <c r="J8" s="4">
        <f t="shared" si="5"/>
        <v>810</v>
      </c>
      <c r="K8" s="4">
        <f t="shared" si="6"/>
        <v>22815</v>
      </c>
    </row>
    <row r="9" spans="1:11" x14ac:dyDescent="0.25">
      <c r="A9" s="3">
        <v>6</v>
      </c>
      <c r="B9" s="3" t="s">
        <v>17</v>
      </c>
      <c r="C9" s="3" t="s">
        <v>26</v>
      </c>
      <c r="D9" s="4">
        <v>9000</v>
      </c>
      <c r="E9" s="4">
        <f t="shared" si="0"/>
        <v>1800</v>
      </c>
      <c r="F9" s="4">
        <f t="shared" si="1"/>
        <v>2250</v>
      </c>
      <c r="G9" s="4">
        <f t="shared" si="2"/>
        <v>450</v>
      </c>
      <c r="H9" s="4">
        <f t="shared" si="3"/>
        <v>13500</v>
      </c>
      <c r="I9" s="4">
        <f t="shared" si="4"/>
        <v>1687.5</v>
      </c>
      <c r="J9" s="4">
        <f t="shared" si="5"/>
        <v>405</v>
      </c>
      <c r="K9" s="4">
        <f t="shared" si="6"/>
        <v>11407.5</v>
      </c>
    </row>
    <row r="10" spans="1:11" x14ac:dyDescent="0.25">
      <c r="A10" s="3">
        <v>7</v>
      </c>
      <c r="B10" s="3" t="s">
        <v>18</v>
      </c>
      <c r="C10" s="3" t="s">
        <v>25</v>
      </c>
      <c r="D10" s="4">
        <v>8000</v>
      </c>
      <c r="E10" s="4">
        <f t="shared" si="0"/>
        <v>1600</v>
      </c>
      <c r="F10" s="4">
        <f t="shared" si="1"/>
        <v>2000</v>
      </c>
      <c r="G10" s="4">
        <f t="shared" si="2"/>
        <v>400</v>
      </c>
      <c r="H10" s="4">
        <f t="shared" si="3"/>
        <v>12000</v>
      </c>
      <c r="I10" s="4">
        <f t="shared" si="4"/>
        <v>1500</v>
      </c>
      <c r="J10" s="4">
        <f t="shared" si="5"/>
        <v>360</v>
      </c>
      <c r="K10" s="4">
        <f t="shared" si="6"/>
        <v>10140</v>
      </c>
    </row>
    <row r="11" spans="1:11" x14ac:dyDescent="0.25">
      <c r="A11" s="3">
        <v>8</v>
      </c>
      <c r="B11" s="3" t="s">
        <v>19</v>
      </c>
      <c r="C11" s="3" t="s">
        <v>24</v>
      </c>
      <c r="D11" s="4">
        <v>9000</v>
      </c>
      <c r="E11" s="4">
        <f t="shared" si="0"/>
        <v>1800</v>
      </c>
      <c r="F11" s="4">
        <f t="shared" si="1"/>
        <v>2250</v>
      </c>
      <c r="G11" s="4">
        <f t="shared" si="2"/>
        <v>450</v>
      </c>
      <c r="H11" s="4">
        <f t="shared" si="3"/>
        <v>13500</v>
      </c>
      <c r="I11" s="4">
        <f t="shared" si="4"/>
        <v>1687.5</v>
      </c>
      <c r="J11" s="4">
        <f t="shared" si="5"/>
        <v>405</v>
      </c>
      <c r="K11" s="4">
        <f t="shared" si="6"/>
        <v>11407.5</v>
      </c>
    </row>
    <row r="12" spans="1:11" x14ac:dyDescent="0.25">
      <c r="A12" s="3">
        <v>9</v>
      </c>
      <c r="B12" s="3" t="s">
        <v>20</v>
      </c>
      <c r="C12" s="3" t="s">
        <v>23</v>
      </c>
      <c r="D12" s="4">
        <v>13000</v>
      </c>
      <c r="E12" s="4">
        <f t="shared" si="0"/>
        <v>2600</v>
      </c>
      <c r="F12" s="4">
        <f t="shared" si="1"/>
        <v>3250</v>
      </c>
      <c r="G12" s="4">
        <f t="shared" si="2"/>
        <v>650</v>
      </c>
      <c r="H12" s="4">
        <f t="shared" si="3"/>
        <v>19500</v>
      </c>
      <c r="I12" s="4">
        <f t="shared" si="4"/>
        <v>2437.5</v>
      </c>
      <c r="J12" s="4">
        <f t="shared" si="5"/>
        <v>585</v>
      </c>
      <c r="K12" s="4">
        <f t="shared" si="6"/>
        <v>16477.5</v>
      </c>
    </row>
    <row r="13" spans="1:11" x14ac:dyDescent="0.25">
      <c r="A13" s="3">
        <v>10</v>
      </c>
      <c r="B13" s="3" t="s">
        <v>21</v>
      </c>
      <c r="C13" s="3" t="s">
        <v>27</v>
      </c>
      <c r="D13" s="4">
        <v>3500</v>
      </c>
      <c r="E13" s="4">
        <f t="shared" si="0"/>
        <v>700</v>
      </c>
      <c r="F13" s="4">
        <f t="shared" si="1"/>
        <v>875</v>
      </c>
      <c r="G13" s="4">
        <f t="shared" si="2"/>
        <v>175</v>
      </c>
      <c r="H13" s="4">
        <f t="shared" si="3"/>
        <v>5250</v>
      </c>
      <c r="I13" s="4">
        <f t="shared" si="4"/>
        <v>656.25</v>
      </c>
      <c r="J13" s="4">
        <f t="shared" si="5"/>
        <v>157.5</v>
      </c>
      <c r="K13" s="4">
        <f t="shared" si="6"/>
        <v>4436.25</v>
      </c>
    </row>
  </sheetData>
  <mergeCells count="1">
    <mergeCell ref="A1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2026-05-29T06:14:30Z</dcterms:created>
  <dcterms:modified xsi:type="dcterms:W3CDTF">2026-05-29T06:47:49Z</dcterms:modified>
</cp:coreProperties>
</file>