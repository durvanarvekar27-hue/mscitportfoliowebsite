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Purva Topale\"/>
    </mc:Choice>
  </mc:AlternateContent>
  <xr:revisionPtr revIDLastSave="0" documentId="13_ncr:1_{1136EB49-7974-4347-9C1F-2BB000C86A83}" xr6:coauthVersionLast="36" xr6:coauthVersionMax="36" xr10:uidLastSave="{00000000-0000-0000-0000-000000000000}"/>
  <bookViews>
    <workbookView xWindow="0" yWindow="0" windowWidth="20490" windowHeight="7545" xr2:uid="{7FF3CD8E-BE2B-4530-877D-EB7179551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K4" i="1" l="1"/>
  <c r="K5" i="1"/>
  <c r="K6" i="1"/>
  <c r="K7" i="1"/>
  <c r="K8" i="1"/>
  <c r="K9" i="1"/>
  <c r="K10" i="1"/>
  <c r="K11" i="1"/>
  <c r="K12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K3" i="1" s="1"/>
  <c r="H4" i="1"/>
  <c r="H5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<sst xmlns="http://schemas.openxmlformats.org/spreadsheetml/2006/main" count="32" uniqueCount="28">
  <si>
    <t>Salary Sheet March 2014</t>
  </si>
  <si>
    <t>ID No:</t>
  </si>
  <si>
    <t>Name</t>
  </si>
  <si>
    <t>Rahul Sangit</t>
  </si>
  <si>
    <t>Nilesh Pimpale</t>
  </si>
  <si>
    <t>Sushant Dere</t>
  </si>
  <si>
    <t>Vikas Potphode</t>
  </si>
  <si>
    <t>Jayant Dhumal</t>
  </si>
  <si>
    <t xml:space="preserve">Ganesh Pathare </t>
  </si>
  <si>
    <t>Govind more</t>
  </si>
  <si>
    <t xml:space="preserve">Ashok Mane </t>
  </si>
  <si>
    <t>Shashank Gupte</t>
  </si>
  <si>
    <t xml:space="preserve">Ganesh Ladkat </t>
  </si>
  <si>
    <t>Post</t>
  </si>
  <si>
    <t>Manager</t>
  </si>
  <si>
    <t>Accountant</t>
  </si>
  <si>
    <t>Salesman</t>
  </si>
  <si>
    <t>Officer</t>
  </si>
  <si>
    <t>Asst Manager</t>
  </si>
  <si>
    <t xml:space="preserve">Helper </t>
  </si>
  <si>
    <t>Basic</t>
  </si>
  <si>
    <t>DA</t>
  </si>
  <si>
    <t>HRA</t>
  </si>
  <si>
    <t>TA</t>
  </si>
  <si>
    <t>Gross Pay</t>
  </si>
  <si>
    <t>P.F.</t>
  </si>
  <si>
    <t>ESI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</si>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</sst>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rgb="FF7030A0"/>
      <name val="Algerian"/>
      <family val="5"/>
    </font>
    <font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1" fontId="0" fillId="0" borderId="7" xfId="0" applyNumberFormat="1" applyBorder="1"/>
    <xf numFmtId="0" fontId="0" fillId="0" borderId="10" xfId="0" applyBorder="1"/>
    <xf numFmtId="0" fontId="1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11" xfId="0" applyBorder="1"/>
    <xf numFmtId="1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9FBE-3B38-4E53-97EF-97D79D1C4E6F}">
  <dimension ref="A1:Q12"/>
  <sheetViews>
    <sheetView tabSelected="1" zoomScale="136" zoomScaleNormal="136" workbookViewId="0">
      <selection activeCell="P4" sqref="P4"/>
    </sheetView>
  </sheetViews>
  <sheetFormatPr defaultRowHeight="15" x14ac:dyDescent="0.25"/>
  <cols>
    <col min="1" max="1" width="7.5703125" customWidth="1"/>
    <col min="2" max="2" width="15.5703125" customWidth="1"/>
    <col min="3" max="3" width="12.42578125" customWidth="1"/>
    <col min="6" max="6" width="6.85546875" customWidth="1"/>
    <col min="7" max="7" width="7.42578125" customWidth="1"/>
    <col min="8" max="8" width="10.28515625" customWidth="1"/>
    <col min="9" max="9" width="8.85546875" customWidth="1"/>
    <col min="10" max="10" width="8" customWidth="1"/>
    <col min="11" max="11" width="10.28515625" customWidth="1"/>
    <col min="12" max="14" width="9.140625" hidden="1" customWidth="1"/>
  </cols>
  <sheetData>
    <row r="1" spans="1:17" ht="29.25" thickBot="1" x14ac:dyDescent="0.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  <c r="L1" s="3"/>
      <c r="M1" s="3"/>
      <c r="N1" s="3"/>
    </row>
    <row r="2" spans="1:17" x14ac:dyDescent="0.25">
      <c r="A2" s="4" t="s">
        <v>1</v>
      </c>
      <c r="B2" s="2" t="s">
        <v>2</v>
      </c>
      <c r="C2" s="2" t="s">
        <v>13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5" t="s">
        <v>27</v>
      </c>
    </row>
    <row r="3" spans="1:17" x14ac:dyDescent="0.25">
      <c r="A3" s="6">
        <v>1</v>
      </c>
      <c r="B3" s="1" t="s">
        <v>3</v>
      </c>
      <c r="C3" s="1" t="s">
        <v>14</v>
      </c>
      <c r="D3" s="1">
        <v>15000</v>
      </c>
      <c r="E3" s="1">
        <v>3000</v>
      </c>
      <c r="F3" s="1">
        <v>3750</v>
      </c>
      <c r="G3" s="1">
        <v>750</v>
      </c>
      <c r="H3" s="1">
        <f>SUM(D3:G3)</f>
        <v>22500</v>
      </c>
      <c r="I3" s="1">
        <f>H3/8</f>
        <v>2812.5</v>
      </c>
      <c r="J3" s="1">
        <f>H3/33.3</f>
        <v>675.67567567567573</v>
      </c>
      <c r="K3" s="9">
        <f>H3-I3-J3</f>
        <v>19011.824324324323</v>
      </c>
    </row>
    <row r="4" spans="1:17" x14ac:dyDescent="0.25">
      <c r="A4" s="6">
        <v>2</v>
      </c>
      <c r="B4" s="1" t="s">
        <v>4</v>
      </c>
      <c r="C4" s="1" t="s">
        <v>15</v>
      </c>
      <c r="D4" s="1">
        <v>10000</v>
      </c>
      <c r="E4" s="1">
        <v>2000</v>
      </c>
      <c r="F4" s="1">
        <v>2500</v>
      </c>
      <c r="G4" s="1">
        <v>500</v>
      </c>
      <c r="H4" s="1">
        <f t="shared" ref="H4:H12" si="0">SUM(D4:G4)</f>
        <v>15000</v>
      </c>
      <c r="I4" s="1">
        <f t="shared" ref="I4:I12" si="1">H4/8</f>
        <v>1875</v>
      </c>
      <c r="J4" s="1">
        <f t="shared" ref="J4:J12" si="2">H4/33.3</f>
        <v>450.45045045045049</v>
      </c>
      <c r="K4" s="9">
        <f t="shared" ref="K4:K12" si="3">H4-I4-J4</f>
        <v>12674.549549549549</v>
      </c>
    </row>
    <row r="5" spans="1:17" x14ac:dyDescent="0.25">
      <c r="A5" s="6">
        <v>3</v>
      </c>
      <c r="B5" s="1" t="s">
        <v>5</v>
      </c>
      <c r="C5" s="1" t="s">
        <v>16</v>
      </c>
      <c r="D5" s="1">
        <v>8000</v>
      </c>
      <c r="E5" s="1">
        <v>1600</v>
      </c>
      <c r="F5" s="1">
        <v>2000</v>
      </c>
      <c r="G5" s="1">
        <v>400</v>
      </c>
      <c r="H5" s="1">
        <f t="shared" si="0"/>
        <v>12000</v>
      </c>
      <c r="I5" s="1">
        <f t="shared" si="1"/>
        <v>1500</v>
      </c>
      <c r="J5" s="1">
        <f t="shared" si="2"/>
        <v>360.3603603603604</v>
      </c>
      <c r="K5" s="9">
        <f t="shared" si="3"/>
        <v>10139.639639639639</v>
      </c>
    </row>
    <row r="6" spans="1:17" x14ac:dyDescent="0.25">
      <c r="A6" s="6">
        <v>4</v>
      </c>
      <c r="B6" s="1" t="s">
        <v>6</v>
      </c>
      <c r="C6" s="1" t="s">
        <v>17</v>
      </c>
      <c r="D6" s="1">
        <v>7000</v>
      </c>
      <c r="E6" s="1">
        <v>1400</v>
      </c>
      <c r="F6" s="1">
        <v>1750</v>
      </c>
      <c r="G6" s="1">
        <v>350</v>
      </c>
      <c r="H6" s="1">
        <f t="shared" si="0"/>
        <v>10500</v>
      </c>
      <c r="I6" s="1">
        <f t="shared" si="1"/>
        <v>1312.5</v>
      </c>
      <c r="J6" s="1">
        <f t="shared" si="2"/>
        <v>315.31531531531533</v>
      </c>
      <c r="K6" s="9">
        <f t="shared" si="3"/>
        <v>8872.1846846846838</v>
      </c>
    </row>
    <row r="7" spans="1:17" x14ac:dyDescent="0.25">
      <c r="A7" s="6">
        <v>5</v>
      </c>
      <c r="B7" s="1" t="s">
        <v>7</v>
      </c>
      <c r="C7" s="1" t="s">
        <v>14</v>
      </c>
      <c r="D7" s="1">
        <v>18000</v>
      </c>
      <c r="E7" s="1">
        <v>3600</v>
      </c>
      <c r="F7" s="1">
        <v>4500</v>
      </c>
      <c r="G7" s="1">
        <v>900</v>
      </c>
      <c r="H7" s="1">
        <f t="shared" si="0"/>
        <v>27000</v>
      </c>
      <c r="I7" s="1">
        <f t="shared" si="1"/>
        <v>3375</v>
      </c>
      <c r="J7" s="1">
        <f t="shared" si="2"/>
        <v>810.81081081081084</v>
      </c>
      <c r="K7" s="9">
        <f t="shared" si="3"/>
        <v>22814.18918918919</v>
      </c>
    </row>
    <row r="8" spans="1:17" x14ac:dyDescent="0.25">
      <c r="A8" s="6">
        <v>6</v>
      </c>
      <c r="B8" s="1" t="s">
        <v>8</v>
      </c>
      <c r="C8" s="1" t="s">
        <v>18</v>
      </c>
      <c r="D8" s="1">
        <v>9000</v>
      </c>
      <c r="E8" s="1">
        <v>1800</v>
      </c>
      <c r="F8" s="1">
        <v>2250</v>
      </c>
      <c r="G8" s="1">
        <v>450</v>
      </c>
      <c r="H8" s="1">
        <f t="shared" si="0"/>
        <v>13500</v>
      </c>
      <c r="I8" s="1">
        <f t="shared" si="1"/>
        <v>1687.5</v>
      </c>
      <c r="J8" s="1">
        <f t="shared" si="2"/>
        <v>405.40540540540542</v>
      </c>
      <c r="K8" s="9">
        <f t="shared" si="3"/>
        <v>11407.094594594595</v>
      </c>
    </row>
    <row r="9" spans="1:17" x14ac:dyDescent="0.25">
      <c r="A9" s="6">
        <v>7</v>
      </c>
      <c r="B9" s="1" t="s">
        <v>9</v>
      </c>
      <c r="C9" s="1" t="s">
        <v>17</v>
      </c>
      <c r="D9" s="1">
        <v>8000</v>
      </c>
      <c r="E9" s="1">
        <v>1600</v>
      </c>
      <c r="F9" s="1">
        <v>2000</v>
      </c>
      <c r="G9" s="1">
        <v>400</v>
      </c>
      <c r="H9" s="1">
        <f t="shared" si="0"/>
        <v>12000</v>
      </c>
      <c r="I9" s="1">
        <f t="shared" si="1"/>
        <v>1500</v>
      </c>
      <c r="J9" s="1">
        <f t="shared" si="2"/>
        <v>360.3603603603604</v>
      </c>
      <c r="K9" s="9">
        <f t="shared" si="3"/>
        <v>10139.639639639639</v>
      </c>
    </row>
    <row r="10" spans="1:17" x14ac:dyDescent="0.25">
      <c r="A10" s="6">
        <v>8</v>
      </c>
      <c r="B10" s="1" t="s">
        <v>10</v>
      </c>
      <c r="C10" s="1" t="s">
        <v>16</v>
      </c>
      <c r="D10" s="1">
        <v>9000</v>
      </c>
      <c r="E10" s="1">
        <v>1800</v>
      </c>
      <c r="F10" s="1">
        <v>2250</v>
      </c>
      <c r="G10" s="1">
        <v>450</v>
      </c>
      <c r="H10" s="1">
        <f t="shared" si="0"/>
        <v>13500</v>
      </c>
      <c r="I10" s="1">
        <f t="shared" si="1"/>
        <v>1687.5</v>
      </c>
      <c r="J10" s="1">
        <f t="shared" si="2"/>
        <v>405.40540540540542</v>
      </c>
      <c r="K10" s="9">
        <f t="shared" si="3"/>
        <v>11407.094594594595</v>
      </c>
    </row>
    <row r="11" spans="1:17" x14ac:dyDescent="0.25">
      <c r="A11" s="6">
        <v>9</v>
      </c>
      <c r="B11" s="1" t="s">
        <v>11</v>
      </c>
      <c r="C11" s="1" t="s">
        <v>15</v>
      </c>
      <c r="D11" s="1">
        <v>13000</v>
      </c>
      <c r="E11" s="1">
        <v>2600</v>
      </c>
      <c r="F11" s="1">
        <v>3250</v>
      </c>
      <c r="G11" s="1">
        <v>650</v>
      </c>
      <c r="H11" s="1">
        <f t="shared" si="0"/>
        <v>19500</v>
      </c>
      <c r="I11" s="1">
        <f t="shared" si="1"/>
        <v>2437.5</v>
      </c>
      <c r="J11" s="1">
        <f t="shared" si="2"/>
        <v>585.58558558558559</v>
      </c>
      <c r="K11" s="9">
        <f t="shared" si="3"/>
        <v>16476.914414414416</v>
      </c>
    </row>
    <row r="12" spans="1:17" ht="15.75" thickBot="1" x14ac:dyDescent="0.3">
      <c r="A12" s="7">
        <v>10</v>
      </c>
      <c r="B12" s="8" t="s">
        <v>12</v>
      </c>
      <c r="C12" s="8" t="s">
        <v>19</v>
      </c>
      <c r="D12" s="8">
        <v>3500</v>
      </c>
      <c r="E12" s="8">
        <v>700</v>
      </c>
      <c r="F12" s="8">
        <v>875</v>
      </c>
      <c r="G12" s="8">
        <v>175</v>
      </c>
      <c r="H12" s="8">
        <f t="shared" si="0"/>
        <v>5250</v>
      </c>
      <c r="I12" s="8">
        <f t="shared" si="1"/>
        <v>656.25</v>
      </c>
      <c r="J12" s="8">
        <f t="shared" si="2"/>
        <v>157.65765765765767</v>
      </c>
      <c r="K12" s="15">
        <f t="shared" si="3"/>
        <v>4436.0923423423419</v>
      </c>
      <c r="L12" s="10"/>
      <c r="M12" s="10"/>
      <c r="N12" s="10"/>
      <c r="Q12" s="1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2026-05-26T10:33:12Z</dcterms:created>
  <dcterms:modified xsi:type="dcterms:W3CDTF">2026-05-28T11:08:39Z</dcterms:modified>
</cp:coreProperties>
</file>