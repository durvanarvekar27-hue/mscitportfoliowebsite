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92.168.1.119\All Sudents Data\Purva Topale\"/>
    </mc:Choice>
  </mc:AlternateContent>
  <xr:revisionPtr revIDLastSave="0" documentId="13_ncr:1_{75F5EF88-F5F0-47FD-B6F8-66CD43084835}" xr6:coauthVersionLast="36" xr6:coauthVersionMax="36" xr10:uidLastSave="{00000000-0000-0000-0000-000000000000}"/>
  <bookViews>
    <workbookView xWindow="0" yWindow="0" windowWidth="20490" windowHeight="7545" activeTab="2" xr2:uid="{84692CFB-C90C-4450-9980-4FFC738DCE93}"/>
  </bookViews>
  <sheets>
    <sheet name="Examination Sheet " sheetId="1" r:id="rId1"/>
    <sheet name="EMI Calculator" sheetId="2" r:id="rId2"/>
    <sheet name="Salary Sheet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3" l="1"/>
  <c r="N9" i="3"/>
  <c r="N10" i="3"/>
  <c r="N11" i="3"/>
  <c r="N12" i="3"/>
  <c r="N13" i="3"/>
  <c r="N14" i="3"/>
  <c r="N15" i="3"/>
  <c r="N16" i="3"/>
  <c r="K8" i="3" l="1"/>
  <c r="K9" i="3"/>
  <c r="K10" i="3"/>
  <c r="K11" i="3"/>
  <c r="K12" i="3"/>
  <c r="K13" i="3"/>
  <c r="K14" i="3"/>
  <c r="K15" i="3"/>
  <c r="K16" i="3"/>
  <c r="K7" i="3"/>
  <c r="L13" i="3" l="1"/>
  <c r="M13" i="3"/>
  <c r="L12" i="3"/>
  <c r="M12" i="3"/>
  <c r="M8" i="3"/>
  <c r="L8" i="3"/>
  <c r="L9" i="3"/>
  <c r="M9" i="3"/>
  <c r="L16" i="3"/>
  <c r="M16" i="3"/>
  <c r="M15" i="3"/>
  <c r="L15" i="3"/>
  <c r="M11" i="3"/>
  <c r="L11" i="3"/>
  <c r="L7" i="3"/>
  <c r="N7" i="3" s="1"/>
  <c r="M7" i="3"/>
  <c r="L14" i="3"/>
  <c r="M14" i="3"/>
  <c r="M10" i="3"/>
  <c r="L10" i="3"/>
  <c r="C18" i="2"/>
  <c r="O15" i="1" l="1"/>
  <c r="P15" i="1" s="1"/>
  <c r="O8" i="1"/>
  <c r="O9" i="1"/>
  <c r="O10" i="1"/>
  <c r="O11" i="1"/>
  <c r="P11" i="1" s="1"/>
  <c r="O12" i="1"/>
  <c r="O13" i="1"/>
  <c r="O14" i="1"/>
  <c r="O16" i="1"/>
  <c r="P8" i="1"/>
  <c r="P9" i="1"/>
  <c r="P10" i="1"/>
  <c r="P12" i="1"/>
  <c r="P13" i="1"/>
  <c r="P14" i="1"/>
  <c r="P16" i="1"/>
  <c r="P7" i="1"/>
  <c r="O7" i="1"/>
</calcChain>
</file>

<file path=xl/sharedStrings.xml><?xml version="1.0" encoding="utf-8"?>
<sst xmlns="http://schemas.openxmlformats.org/spreadsheetml/2006/main" count="60" uniqueCount="52">
  <si>
    <r>
      <rPr>
        <sz val="28"/>
        <color theme="5" tint="-0.249977111117893"/>
        <rFont val="Arial Black"/>
        <family val="2"/>
      </rPr>
      <t xml:space="preserve">Access Computer Institute </t>
    </r>
    <r>
      <rPr>
        <sz val="10"/>
        <color theme="1"/>
        <rFont val="Calibri"/>
        <family val="2"/>
        <scheme val="minor"/>
      </rPr>
      <t xml:space="preserve"> </t>
    </r>
  </si>
  <si>
    <t xml:space="preserve">Examination Sheet </t>
  </si>
  <si>
    <t>Faculty : Kamlesh Sir</t>
  </si>
  <si>
    <t>Batch Time :10 a.m</t>
  </si>
  <si>
    <t>Roll No:</t>
  </si>
  <si>
    <t>Name of Student</t>
  </si>
  <si>
    <t>Rahul sangit</t>
  </si>
  <si>
    <t>Nilesh Pimple</t>
  </si>
  <si>
    <t>Sushant Dere</t>
  </si>
  <si>
    <t>Vikas Potphode</t>
  </si>
  <si>
    <t>Jayant Dhumal</t>
  </si>
  <si>
    <t>Ashok Mane</t>
  </si>
  <si>
    <t xml:space="preserve">Sashank Gupte </t>
  </si>
  <si>
    <t>Govind More</t>
  </si>
  <si>
    <t>Ganesh Pathare</t>
  </si>
  <si>
    <t>Ganesh Ladkat</t>
  </si>
  <si>
    <t>Word Examination</t>
  </si>
  <si>
    <t>ORAL EXAM</t>
  </si>
  <si>
    <t xml:space="preserve"> Practcle exam</t>
  </si>
  <si>
    <t>Excel Examination</t>
  </si>
  <si>
    <t>Practicle exam</t>
  </si>
  <si>
    <t>Total</t>
  </si>
  <si>
    <t>Percentage</t>
  </si>
  <si>
    <t>Tensure Of the loan (Years)</t>
  </si>
  <si>
    <t xml:space="preserve">Loan Amount </t>
  </si>
  <si>
    <t>Interest Rate (Annual %)</t>
  </si>
  <si>
    <t>Mortgage Payment Calculator</t>
  </si>
  <si>
    <t>Salary Sheet March 2014</t>
  </si>
  <si>
    <t>ID No:</t>
  </si>
  <si>
    <t>Name</t>
  </si>
  <si>
    <t>Post</t>
  </si>
  <si>
    <t>Basic</t>
  </si>
  <si>
    <t>DA</t>
  </si>
  <si>
    <t>HRA</t>
  </si>
  <si>
    <t>TA</t>
  </si>
  <si>
    <t>Gross Pay</t>
  </si>
  <si>
    <t>P.F.</t>
  </si>
  <si>
    <t>ESI</t>
  </si>
  <si>
    <t>NET PAY</t>
  </si>
  <si>
    <t>Rahul Sangit</t>
  </si>
  <si>
    <t>Manager</t>
  </si>
  <si>
    <t>Nilesh Pimpale</t>
  </si>
  <si>
    <t>Accountant</t>
  </si>
  <si>
    <t>Salesman</t>
  </si>
  <si>
    <t>Officer</t>
  </si>
  <si>
    <t xml:space="preserve">Ganesh Pathare </t>
  </si>
  <si>
    <t>Asst Manager</t>
  </si>
  <si>
    <t>Govind more</t>
  </si>
  <si>
    <t xml:space="preserve">Ashok Mane </t>
  </si>
  <si>
    <t>Shashank Gupte</t>
  </si>
  <si>
    <t xml:space="preserve">Ganesh Ladkat </t>
  </si>
  <si>
    <t xml:space="preserve">Helper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</si>
</sst>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8"/>
      <color theme="5" tint="-0.249977111117893"/>
      <name val="Arial Black"/>
      <family val="2"/>
    </font>
    <font>
      <b/>
      <sz val="16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36"/>
      <color rgb="FFC00000"/>
      <name val="Calibri"/>
      <family val="2"/>
      <scheme val="minor"/>
    </font>
    <font>
      <sz val="14"/>
      <color theme="1"/>
      <name val="Bahnschrift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theme="1"/>
      <name val="Arial Black"/>
      <family val="2"/>
    </font>
    <font>
      <sz val="28"/>
      <color theme="0" tint="-0.14999847407452621"/>
      <name val="Algerian"/>
      <family val="5"/>
    </font>
    <font>
      <b/>
      <sz val="14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theme="5" tint="-0.249977111117893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7" borderId="2" xfId="0" applyFill="1" applyBorder="1" applyAlignment="1">
      <alignment horizontal="center"/>
    </xf>
    <xf numFmtId="8" fontId="12" fillId="8" borderId="0" xfId="0" applyNumberFormat="1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1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11" fillId="7" borderId="13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13" fillId="9" borderId="18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0" fontId="2" fillId="15" borderId="20" xfId="0" applyFont="1" applyFill="1" applyBorder="1" applyAlignment="1">
      <alignment horizontal="center" vertical="center"/>
    </xf>
    <xf numFmtId="0" fontId="2" fillId="15" borderId="21" xfId="0" applyFont="1" applyFill="1" applyBorder="1" applyAlignment="1">
      <alignment horizontal="center" vertical="center"/>
    </xf>
    <xf numFmtId="0" fontId="2" fillId="15" borderId="22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7" fillId="14" borderId="23" xfId="0" applyFont="1" applyFill="1" applyBorder="1" applyAlignment="1">
      <alignment horizontal="center" textRotation="19"/>
    </xf>
    <xf numFmtId="0" fontId="6" fillId="14" borderId="24" xfId="0" applyFont="1" applyFill="1" applyBorder="1" applyAlignment="1">
      <alignment horizontal="center" textRotation="19"/>
    </xf>
    <xf numFmtId="0" fontId="6" fillId="14" borderId="25" xfId="0" applyFont="1" applyFill="1" applyBorder="1" applyAlignment="1">
      <alignment horizontal="center" textRotation="19"/>
    </xf>
    <xf numFmtId="0" fontId="7" fillId="14" borderId="23" xfId="0" applyFont="1" applyFill="1" applyBorder="1" applyAlignment="1">
      <alignment horizontal="center" textRotation="20"/>
    </xf>
    <xf numFmtId="0" fontId="7" fillId="14" borderId="24" xfId="0" applyFont="1" applyFill="1" applyBorder="1" applyAlignment="1">
      <alignment horizontal="center" textRotation="20"/>
    </xf>
    <xf numFmtId="0" fontId="7" fillId="14" borderId="25" xfId="0" applyFont="1" applyFill="1" applyBorder="1" applyAlignment="1">
      <alignment horizontal="center" textRotation="20"/>
    </xf>
    <xf numFmtId="0" fontId="2" fillId="13" borderId="20" xfId="0" applyFont="1" applyFill="1" applyBorder="1" applyAlignment="1">
      <alignment horizontal="center" vertical="top"/>
    </xf>
    <xf numFmtId="0" fontId="2" fillId="13" borderId="22" xfId="0" applyFont="1" applyFill="1" applyBorder="1" applyAlignment="1">
      <alignment horizontal="center" vertical="top"/>
    </xf>
    <xf numFmtId="0" fontId="2" fillId="13" borderId="20" xfId="0" applyFont="1" applyFill="1" applyBorder="1" applyAlignment="1">
      <alignment vertical="top"/>
    </xf>
    <xf numFmtId="0" fontId="15" fillId="11" borderId="25" xfId="0" applyFont="1" applyFill="1" applyBorder="1" applyAlignment="1">
      <alignment horizontal="center"/>
    </xf>
    <xf numFmtId="0" fontId="10" fillId="11" borderId="28" xfId="0" applyFont="1" applyFill="1" applyBorder="1" applyAlignment="1">
      <alignment horizontal="center"/>
    </xf>
    <xf numFmtId="0" fontId="2" fillId="13" borderId="10" xfId="0" applyFont="1" applyFill="1" applyBorder="1" applyAlignment="1">
      <alignment vertical="top"/>
    </xf>
    <xf numFmtId="0" fontId="15" fillId="11" borderId="27" xfId="0" applyFont="1" applyFill="1" applyBorder="1" applyAlignment="1">
      <alignment horizontal="center"/>
    </xf>
    <xf numFmtId="0" fontId="15" fillId="11" borderId="2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29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/>
    </xf>
    <xf numFmtId="0" fontId="2" fillId="12" borderId="30" xfId="0" applyFont="1" applyFill="1" applyBorder="1" applyAlignment="1">
      <alignment horizontal="center"/>
    </xf>
    <xf numFmtId="164" fontId="0" fillId="9" borderId="16" xfId="1" applyNumberFormat="1" applyFont="1" applyFill="1" applyBorder="1" applyAlignment="1">
      <alignment horizontal="center"/>
    </xf>
    <xf numFmtId="164" fontId="0" fillId="9" borderId="15" xfId="1" applyNumberFormat="1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2" fillId="18" borderId="17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24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0" fontId="2" fillId="17" borderId="31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10" fillId="11" borderId="32" xfId="0" applyFont="1" applyFill="1" applyBorder="1" applyAlignment="1">
      <alignment horizontal="center"/>
    </xf>
    <xf numFmtId="0" fontId="2" fillId="18" borderId="31" xfId="0" applyFont="1" applyFill="1" applyBorder="1" applyAlignment="1">
      <alignment horizontal="center"/>
    </xf>
    <xf numFmtId="0" fontId="2" fillId="18" borderId="29" xfId="0" applyFont="1" applyFill="1" applyBorder="1" applyAlignment="1">
      <alignment horizontal="center"/>
    </xf>
    <xf numFmtId="0" fontId="2" fillId="18" borderId="30" xfId="0" applyFont="1" applyFill="1" applyBorder="1" applyAlignment="1">
      <alignment horizontal="center"/>
    </xf>
    <xf numFmtId="0" fontId="2" fillId="16" borderId="31" xfId="0" applyFont="1" applyFill="1" applyBorder="1" applyAlignment="1">
      <alignment horizontal="center"/>
    </xf>
    <xf numFmtId="0" fontId="2" fillId="16" borderId="29" xfId="0" applyFont="1" applyFill="1" applyBorder="1" applyAlignment="1">
      <alignment horizontal="center"/>
    </xf>
    <xf numFmtId="0" fontId="2" fillId="16" borderId="33" xfId="0" applyFont="1" applyFill="1" applyBorder="1" applyAlignment="1">
      <alignment horizontal="center"/>
    </xf>
    <xf numFmtId="0" fontId="2" fillId="17" borderId="34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16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3C4D-D9CF-4F25-AB2D-B67138E51B55}">
  <sheetPr>
    <tabColor theme="8" tint="-0.499984740745262"/>
  </sheetPr>
  <dimension ref="A1:P21"/>
  <sheetViews>
    <sheetView zoomScale="93" zoomScaleNormal="93" workbookViewId="0">
      <selection activeCell="O7" sqref="O7"/>
    </sheetView>
  </sheetViews>
  <sheetFormatPr defaultRowHeight="15" x14ac:dyDescent="0.25"/>
  <cols>
    <col min="2" max="2" width="18.42578125" customWidth="1"/>
    <col min="8" max="8" width="13.140625" customWidth="1"/>
    <col min="14" max="14" width="13.7109375" customWidth="1"/>
    <col min="15" max="15" width="10.7109375" customWidth="1"/>
    <col min="16" max="16" width="15.5703125" customWidth="1"/>
  </cols>
  <sheetData>
    <row r="1" spans="1:16" ht="42" customHeight="1" thickBot="1" x14ac:dyDescent="0.8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</row>
    <row r="2" spans="1:16" ht="22.5" customHeight="1" thickBot="1" x14ac:dyDescent="0.4">
      <c r="A2" s="95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7"/>
    </row>
    <row r="3" spans="1:16" ht="15.75" thickBot="1" x14ac:dyDescent="0.3">
      <c r="A3" s="98" t="s">
        <v>2</v>
      </c>
      <c r="B3" s="99"/>
      <c r="C3" s="99"/>
      <c r="D3" s="99"/>
      <c r="E3" s="99"/>
      <c r="F3" s="99"/>
      <c r="G3" s="99"/>
      <c r="H3" s="100"/>
      <c r="I3" s="98" t="s">
        <v>3</v>
      </c>
      <c r="J3" s="99"/>
      <c r="K3" s="99"/>
      <c r="L3" s="99"/>
      <c r="M3" s="99"/>
      <c r="N3" s="99"/>
      <c r="O3" s="99"/>
      <c r="P3" s="100"/>
    </row>
    <row r="4" spans="1:16" ht="57.75" customHeight="1" thickBot="1" x14ac:dyDescent="0.3">
      <c r="A4" s="111" t="s">
        <v>4</v>
      </c>
      <c r="B4" s="94" t="s">
        <v>5</v>
      </c>
      <c r="C4" s="64" t="s">
        <v>16</v>
      </c>
      <c r="D4" s="65"/>
      <c r="E4" s="65"/>
      <c r="F4" s="65"/>
      <c r="G4" s="65"/>
      <c r="H4" s="66"/>
      <c r="I4" s="67" t="s">
        <v>19</v>
      </c>
      <c r="J4" s="68"/>
      <c r="K4" s="68"/>
      <c r="L4" s="68"/>
      <c r="M4" s="68"/>
      <c r="N4" s="69"/>
      <c r="O4" s="58" t="s">
        <v>21</v>
      </c>
      <c r="P4" s="61" t="s">
        <v>22</v>
      </c>
    </row>
    <row r="5" spans="1:16" ht="15.75" thickBot="1" x14ac:dyDescent="0.3">
      <c r="A5" s="101"/>
      <c r="B5" s="105"/>
      <c r="C5" s="56" t="s">
        <v>17</v>
      </c>
      <c r="D5" s="57"/>
      <c r="E5" s="57"/>
      <c r="F5" s="57"/>
      <c r="G5" s="57"/>
      <c r="H5" s="72" t="s">
        <v>18</v>
      </c>
      <c r="I5" s="56" t="s">
        <v>17</v>
      </c>
      <c r="J5" s="57"/>
      <c r="K5" s="57"/>
      <c r="L5" s="57"/>
      <c r="M5" s="57"/>
      <c r="N5" s="70" t="s">
        <v>20</v>
      </c>
      <c r="O5" s="59"/>
      <c r="P5" s="62"/>
    </row>
    <row r="6" spans="1:16" ht="19.5" thickBot="1" x14ac:dyDescent="0.35">
      <c r="A6" s="102"/>
      <c r="B6" s="106"/>
      <c r="C6" s="104">
        <v>1</v>
      </c>
      <c r="D6" s="74">
        <v>2</v>
      </c>
      <c r="E6" s="74">
        <v>3</v>
      </c>
      <c r="F6" s="74">
        <v>4</v>
      </c>
      <c r="G6" s="74">
        <v>5</v>
      </c>
      <c r="H6" s="75"/>
      <c r="I6" s="76">
        <v>1</v>
      </c>
      <c r="J6" s="77">
        <v>2</v>
      </c>
      <c r="K6" s="77">
        <v>3</v>
      </c>
      <c r="L6" s="77">
        <v>4</v>
      </c>
      <c r="M6" s="73">
        <v>5</v>
      </c>
      <c r="N6" s="71"/>
      <c r="O6" s="60"/>
      <c r="P6" s="63"/>
    </row>
    <row r="7" spans="1:16" x14ac:dyDescent="0.25">
      <c r="A7" s="102">
        <v>1</v>
      </c>
      <c r="B7" s="106" t="s">
        <v>6</v>
      </c>
      <c r="C7" s="85">
        <v>1</v>
      </c>
      <c r="D7" s="86">
        <v>0</v>
      </c>
      <c r="E7" s="86">
        <v>1</v>
      </c>
      <c r="F7" s="86">
        <v>1</v>
      </c>
      <c r="G7" s="86">
        <v>1</v>
      </c>
      <c r="H7" s="85">
        <v>8</v>
      </c>
      <c r="I7" s="78">
        <v>1</v>
      </c>
      <c r="J7" s="79">
        <v>1</v>
      </c>
      <c r="K7" s="79">
        <v>1</v>
      </c>
      <c r="L7" s="79">
        <v>1</v>
      </c>
      <c r="M7" s="80">
        <v>1</v>
      </c>
      <c r="N7" s="81">
        <v>9</v>
      </c>
      <c r="O7" s="108">
        <f>SUM(C7:N7)</f>
        <v>26</v>
      </c>
      <c r="P7" s="89">
        <f>O7/30</f>
        <v>0.8666666666666667</v>
      </c>
    </row>
    <row r="8" spans="1:16" x14ac:dyDescent="0.25">
      <c r="A8" s="102">
        <v>2</v>
      </c>
      <c r="B8" s="106" t="s">
        <v>7</v>
      </c>
      <c r="C8" s="85">
        <v>0</v>
      </c>
      <c r="D8" s="86">
        <v>0</v>
      </c>
      <c r="E8" s="86">
        <v>1</v>
      </c>
      <c r="F8" s="86">
        <v>1</v>
      </c>
      <c r="G8" s="86">
        <v>1</v>
      </c>
      <c r="H8" s="85">
        <v>7</v>
      </c>
      <c r="I8" s="78">
        <v>1</v>
      </c>
      <c r="J8" s="79">
        <v>0</v>
      </c>
      <c r="K8" s="79">
        <v>0</v>
      </c>
      <c r="L8" s="79">
        <v>1</v>
      </c>
      <c r="M8" s="79">
        <v>1</v>
      </c>
      <c r="N8" s="81">
        <v>7</v>
      </c>
      <c r="O8" s="109">
        <f t="shared" ref="O8:O16" si="0">SUM(C8:N8)</f>
        <v>20</v>
      </c>
      <c r="P8" s="89">
        <f t="shared" ref="P8:P16" si="1">O8/30</f>
        <v>0.66666666666666663</v>
      </c>
    </row>
    <row r="9" spans="1:16" x14ac:dyDescent="0.25">
      <c r="A9" s="102">
        <v>3</v>
      </c>
      <c r="B9" s="106" t="s">
        <v>8</v>
      </c>
      <c r="C9" s="85">
        <v>1</v>
      </c>
      <c r="D9" s="86">
        <v>1</v>
      </c>
      <c r="E9" s="86">
        <v>0</v>
      </c>
      <c r="F9" s="86">
        <v>0</v>
      </c>
      <c r="G9" s="86">
        <v>0</v>
      </c>
      <c r="H9" s="85">
        <v>9</v>
      </c>
      <c r="I9" s="78">
        <v>1</v>
      </c>
      <c r="J9" s="79">
        <v>1</v>
      </c>
      <c r="K9" s="79">
        <v>0</v>
      </c>
      <c r="L9" s="79">
        <v>0</v>
      </c>
      <c r="M9" s="79">
        <v>1</v>
      </c>
      <c r="N9" s="81">
        <v>8</v>
      </c>
      <c r="O9" s="109">
        <f t="shared" si="0"/>
        <v>22</v>
      </c>
      <c r="P9" s="89">
        <f t="shared" si="1"/>
        <v>0.73333333333333328</v>
      </c>
    </row>
    <row r="10" spans="1:16" x14ac:dyDescent="0.25">
      <c r="A10" s="102">
        <v>4</v>
      </c>
      <c r="B10" s="106" t="s">
        <v>9</v>
      </c>
      <c r="C10" s="85">
        <v>1</v>
      </c>
      <c r="D10" s="86">
        <v>0</v>
      </c>
      <c r="E10" s="86">
        <v>0</v>
      </c>
      <c r="F10" s="86">
        <v>0</v>
      </c>
      <c r="G10" s="86">
        <v>1</v>
      </c>
      <c r="H10" s="85">
        <v>7</v>
      </c>
      <c r="I10" s="78">
        <v>1</v>
      </c>
      <c r="J10" s="79">
        <v>1</v>
      </c>
      <c r="K10" s="79">
        <v>0</v>
      </c>
      <c r="L10" s="79">
        <v>0</v>
      </c>
      <c r="M10" s="79">
        <v>1</v>
      </c>
      <c r="N10" s="81">
        <v>8</v>
      </c>
      <c r="O10" s="109">
        <f t="shared" si="0"/>
        <v>20</v>
      </c>
      <c r="P10" s="89">
        <f t="shared" si="1"/>
        <v>0.66666666666666663</v>
      </c>
    </row>
    <row r="11" spans="1:16" x14ac:dyDescent="0.25">
      <c r="A11" s="102">
        <v>5</v>
      </c>
      <c r="B11" s="106" t="s">
        <v>10</v>
      </c>
      <c r="C11" s="85">
        <v>1</v>
      </c>
      <c r="D11" s="86">
        <v>1</v>
      </c>
      <c r="E11" s="86">
        <v>1</v>
      </c>
      <c r="F11" s="86">
        <v>1</v>
      </c>
      <c r="G11" s="86">
        <v>1</v>
      </c>
      <c r="H11" s="85">
        <v>9</v>
      </c>
      <c r="I11" s="78">
        <v>1</v>
      </c>
      <c r="J11" s="79">
        <v>1</v>
      </c>
      <c r="K11" s="79">
        <v>1</v>
      </c>
      <c r="L11" s="79">
        <v>1</v>
      </c>
      <c r="M11" s="79">
        <v>1</v>
      </c>
      <c r="N11" s="81">
        <v>9</v>
      </c>
      <c r="O11" s="109">
        <f t="shared" si="0"/>
        <v>28</v>
      </c>
      <c r="P11" s="89">
        <f t="shared" si="1"/>
        <v>0.93333333333333335</v>
      </c>
    </row>
    <row r="12" spans="1:16" x14ac:dyDescent="0.25">
      <c r="A12" s="102">
        <v>6</v>
      </c>
      <c r="B12" s="106" t="s">
        <v>14</v>
      </c>
      <c r="C12" s="85">
        <v>1</v>
      </c>
      <c r="D12" s="86">
        <v>0</v>
      </c>
      <c r="E12" s="86">
        <v>0</v>
      </c>
      <c r="F12" s="86">
        <v>1</v>
      </c>
      <c r="G12" s="86">
        <v>1</v>
      </c>
      <c r="H12" s="85">
        <v>8</v>
      </c>
      <c r="I12" s="78">
        <v>1</v>
      </c>
      <c r="J12" s="79">
        <v>0</v>
      </c>
      <c r="K12" s="79">
        <v>1</v>
      </c>
      <c r="L12" s="79">
        <v>0</v>
      </c>
      <c r="M12" s="79">
        <v>0</v>
      </c>
      <c r="N12" s="81">
        <v>8</v>
      </c>
      <c r="O12" s="109">
        <f t="shared" si="0"/>
        <v>21</v>
      </c>
      <c r="P12" s="89">
        <f t="shared" si="1"/>
        <v>0.7</v>
      </c>
    </row>
    <row r="13" spans="1:16" x14ac:dyDescent="0.25">
      <c r="A13" s="102">
        <v>7</v>
      </c>
      <c r="B13" s="106" t="s">
        <v>13</v>
      </c>
      <c r="C13" s="85">
        <v>1</v>
      </c>
      <c r="D13" s="86">
        <v>0</v>
      </c>
      <c r="E13" s="86">
        <v>1</v>
      </c>
      <c r="F13" s="86">
        <v>0</v>
      </c>
      <c r="G13" s="86">
        <v>1</v>
      </c>
      <c r="H13" s="85">
        <v>7</v>
      </c>
      <c r="I13" s="78">
        <v>1</v>
      </c>
      <c r="J13" s="79">
        <v>1</v>
      </c>
      <c r="K13" s="79">
        <v>1</v>
      </c>
      <c r="L13" s="79">
        <v>1</v>
      </c>
      <c r="M13" s="79">
        <v>1</v>
      </c>
      <c r="N13" s="81">
        <v>8</v>
      </c>
      <c r="O13" s="109">
        <f t="shared" si="0"/>
        <v>23</v>
      </c>
      <c r="P13" s="89">
        <f t="shared" si="1"/>
        <v>0.76666666666666672</v>
      </c>
    </row>
    <row r="14" spans="1:16" x14ac:dyDescent="0.25">
      <c r="A14" s="102">
        <v>8</v>
      </c>
      <c r="B14" s="106" t="s">
        <v>11</v>
      </c>
      <c r="C14" s="85">
        <v>1</v>
      </c>
      <c r="D14" s="86">
        <v>0</v>
      </c>
      <c r="E14" s="86">
        <v>1</v>
      </c>
      <c r="F14" s="86">
        <v>0</v>
      </c>
      <c r="G14" s="86">
        <v>1</v>
      </c>
      <c r="H14" s="85">
        <v>5</v>
      </c>
      <c r="I14" s="78">
        <v>1</v>
      </c>
      <c r="J14" s="79">
        <v>0</v>
      </c>
      <c r="K14" s="79">
        <v>1</v>
      </c>
      <c r="L14" s="79">
        <v>0</v>
      </c>
      <c r="M14" s="79">
        <v>1</v>
      </c>
      <c r="N14" s="81">
        <v>6</v>
      </c>
      <c r="O14" s="109">
        <f t="shared" si="0"/>
        <v>17</v>
      </c>
      <c r="P14" s="89">
        <f t="shared" si="1"/>
        <v>0.56666666666666665</v>
      </c>
    </row>
    <row r="15" spans="1:16" x14ac:dyDescent="0.25">
      <c r="A15" s="102">
        <v>9</v>
      </c>
      <c r="B15" s="106" t="s">
        <v>12</v>
      </c>
      <c r="C15" s="85">
        <v>1</v>
      </c>
      <c r="D15" s="86">
        <v>1</v>
      </c>
      <c r="E15" s="86">
        <v>1</v>
      </c>
      <c r="F15" s="86">
        <v>1</v>
      </c>
      <c r="G15" s="86">
        <v>1</v>
      </c>
      <c r="H15" s="85">
        <v>7</v>
      </c>
      <c r="I15" s="78">
        <v>1</v>
      </c>
      <c r="J15" s="79">
        <v>1</v>
      </c>
      <c r="K15" s="79">
        <v>1</v>
      </c>
      <c r="L15" s="79">
        <v>1</v>
      </c>
      <c r="M15" s="79">
        <v>1</v>
      </c>
      <c r="N15" s="81">
        <v>6</v>
      </c>
      <c r="O15" s="109">
        <f>SUM(C15:N15)</f>
        <v>23</v>
      </c>
      <c r="P15" s="89">
        <f t="shared" si="1"/>
        <v>0.76666666666666672</v>
      </c>
    </row>
    <row r="16" spans="1:16" x14ac:dyDescent="0.25">
      <c r="A16" s="103">
        <v>10</v>
      </c>
      <c r="B16" s="107" t="s">
        <v>15</v>
      </c>
      <c r="C16" s="87">
        <v>1</v>
      </c>
      <c r="D16" s="88">
        <v>1</v>
      </c>
      <c r="E16" s="88">
        <v>0</v>
      </c>
      <c r="F16" s="88">
        <v>0</v>
      </c>
      <c r="G16" s="88">
        <v>1</v>
      </c>
      <c r="H16" s="87">
        <v>9</v>
      </c>
      <c r="I16" s="82">
        <v>1</v>
      </c>
      <c r="J16" s="83">
        <v>1</v>
      </c>
      <c r="K16" s="83">
        <v>1</v>
      </c>
      <c r="L16" s="83">
        <v>1</v>
      </c>
      <c r="M16" s="83">
        <v>1</v>
      </c>
      <c r="N16" s="84">
        <v>8</v>
      </c>
      <c r="O16" s="110">
        <f t="shared" si="0"/>
        <v>25</v>
      </c>
      <c r="P16" s="90">
        <f t="shared" si="1"/>
        <v>0.83333333333333337</v>
      </c>
    </row>
    <row r="17" spans="8:8" x14ac:dyDescent="0.25">
      <c r="H17" s="1"/>
    </row>
    <row r="18" spans="8:8" x14ac:dyDescent="0.25">
      <c r="H18" s="1"/>
    </row>
    <row r="19" spans="8:8" x14ac:dyDescent="0.25">
      <c r="H19" s="1"/>
    </row>
    <row r="20" spans="8:8" x14ac:dyDescent="0.25">
      <c r="H20" s="1"/>
    </row>
    <row r="21" spans="8:8" x14ac:dyDescent="0.25">
      <c r="H21" s="1"/>
    </row>
  </sheetData>
  <mergeCells count="12">
    <mergeCell ref="O4:O6"/>
    <mergeCell ref="P4:P6"/>
    <mergeCell ref="A1:P1"/>
    <mergeCell ref="A2:P2"/>
    <mergeCell ref="A3:H3"/>
    <mergeCell ref="I3:P3"/>
    <mergeCell ref="C4:H4"/>
    <mergeCell ref="C5:G5"/>
    <mergeCell ref="H5:H6"/>
    <mergeCell ref="I4:N4"/>
    <mergeCell ref="I5:M5"/>
    <mergeCell ref="N5:N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E375-3901-4194-9523-7BFD4AA0F44F}">
  <sheetPr>
    <tabColor theme="7" tint="-0.499984740745262"/>
  </sheetPr>
  <dimension ref="C1:O19"/>
  <sheetViews>
    <sheetView zoomScaleNormal="100" workbookViewId="0">
      <selection activeCell="C18" sqref="C18:O19"/>
    </sheetView>
  </sheetViews>
  <sheetFormatPr defaultRowHeight="15" x14ac:dyDescent="0.25"/>
  <sheetData>
    <row r="1" spans="3:15" ht="15.75" thickBot="1" x14ac:dyDescent="0.3"/>
    <row r="2" spans="3:15" x14ac:dyDescent="0.25">
      <c r="C2" s="14" t="s">
        <v>26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 spans="3:15" x14ac:dyDescent="0.2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3:15" ht="15.75" thickBot="1" x14ac:dyDescent="0.3">
      <c r="C4" s="20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/>
    </row>
    <row r="6" spans="3:15" ht="15.75" thickBot="1" x14ac:dyDescent="0.3"/>
    <row r="7" spans="3:15" x14ac:dyDescent="0.25"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</row>
    <row r="8" spans="3:15" x14ac:dyDescent="0.25">
      <c r="C8" s="5"/>
      <c r="D8" s="23" t="s">
        <v>24</v>
      </c>
      <c r="E8" s="24"/>
      <c r="F8" s="24"/>
      <c r="G8" s="25"/>
      <c r="H8" s="6"/>
      <c r="I8" s="6"/>
      <c r="J8" s="6"/>
      <c r="K8" s="6"/>
      <c r="L8" s="39">
        <v>10000</v>
      </c>
      <c r="M8" s="40"/>
      <c r="N8" s="41"/>
      <c r="O8" s="7"/>
    </row>
    <row r="9" spans="3:15" x14ac:dyDescent="0.25">
      <c r="C9" s="5"/>
      <c r="D9" s="26"/>
      <c r="E9" s="27"/>
      <c r="F9" s="27"/>
      <c r="G9" s="28"/>
      <c r="H9" s="6"/>
      <c r="I9" s="6"/>
      <c r="J9" s="6"/>
      <c r="K9" s="6"/>
      <c r="L9" s="42"/>
      <c r="M9" s="43"/>
      <c r="N9" s="44"/>
      <c r="O9" s="7"/>
    </row>
    <row r="10" spans="3:15" x14ac:dyDescent="0.25"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3:15" x14ac:dyDescent="0.25">
      <c r="C11" s="5"/>
      <c r="D11" s="23" t="s">
        <v>25</v>
      </c>
      <c r="E11" s="29"/>
      <c r="F11" s="29"/>
      <c r="G11" s="30"/>
      <c r="H11" s="6"/>
      <c r="I11" s="6"/>
      <c r="J11" s="6"/>
      <c r="K11" s="6"/>
      <c r="L11" s="39">
        <v>12</v>
      </c>
      <c r="M11" s="40"/>
      <c r="N11" s="41"/>
      <c r="O11" s="7"/>
    </row>
    <row r="12" spans="3:15" x14ac:dyDescent="0.25">
      <c r="C12" s="5"/>
      <c r="D12" s="31"/>
      <c r="E12" s="32"/>
      <c r="F12" s="32"/>
      <c r="G12" s="33"/>
      <c r="H12" s="6"/>
      <c r="I12" s="6"/>
      <c r="J12" s="6"/>
      <c r="K12" s="6"/>
      <c r="L12" s="42"/>
      <c r="M12" s="43"/>
      <c r="N12" s="44"/>
      <c r="O12" s="7"/>
    </row>
    <row r="13" spans="3:15" x14ac:dyDescent="0.25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3:15" x14ac:dyDescent="0.25">
      <c r="C14" s="5"/>
      <c r="D14" s="23" t="s">
        <v>23</v>
      </c>
      <c r="E14" s="34"/>
      <c r="F14" s="34"/>
      <c r="G14" s="35"/>
      <c r="H14" s="6"/>
      <c r="I14" s="6"/>
      <c r="J14" s="6"/>
      <c r="K14" s="6"/>
      <c r="L14" s="39">
        <v>1</v>
      </c>
      <c r="M14" s="40"/>
      <c r="N14" s="41"/>
      <c r="O14" s="7"/>
    </row>
    <row r="15" spans="3:15" x14ac:dyDescent="0.25">
      <c r="C15" s="5"/>
      <c r="D15" s="36"/>
      <c r="E15" s="37"/>
      <c r="F15" s="37"/>
      <c r="G15" s="38"/>
      <c r="H15" s="6"/>
      <c r="I15" s="6"/>
      <c r="J15" s="6"/>
      <c r="K15" s="6"/>
      <c r="L15" s="42"/>
      <c r="M15" s="43"/>
      <c r="N15" s="44"/>
      <c r="O15" s="7"/>
    </row>
    <row r="16" spans="3:15" ht="15.75" thickBot="1" x14ac:dyDescent="0.3"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</row>
    <row r="18" spans="3:15" x14ac:dyDescent="0.25">
      <c r="C18" s="12">
        <f>PMT(L11%/12,L14*12,-L8)</f>
        <v>888.48788678341691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3:15" x14ac:dyDescent="0.25"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</sheetData>
  <mergeCells count="8">
    <mergeCell ref="C18:O19"/>
    <mergeCell ref="C2:O4"/>
    <mergeCell ref="D8:G9"/>
    <mergeCell ref="D11:G12"/>
    <mergeCell ref="D14:G15"/>
    <mergeCell ref="L11:N12"/>
    <mergeCell ref="L8:N9"/>
    <mergeCell ref="L14:N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2C90-9295-4FB7-B83F-DAC4ACC65F02}">
  <sheetPr>
    <tabColor theme="2" tint="-0.499984740745262"/>
  </sheetPr>
  <dimension ref="D4:N16"/>
  <sheetViews>
    <sheetView tabSelected="1" workbookViewId="0">
      <selection activeCell="M7" sqref="M7"/>
    </sheetView>
  </sheetViews>
  <sheetFormatPr defaultRowHeight="15" x14ac:dyDescent="0.25"/>
  <cols>
    <col min="5" max="5" width="19.28515625" customWidth="1"/>
    <col min="6" max="6" width="17" customWidth="1"/>
    <col min="11" max="11" width="11.85546875" customWidth="1"/>
    <col min="12" max="12" width="11.5703125" customWidth="1"/>
    <col min="13" max="13" width="17.42578125" customWidth="1"/>
    <col min="14" max="14" width="18.5703125" customWidth="1"/>
  </cols>
  <sheetData>
    <row r="4" spans="4:14" ht="15.75" thickBot="1" x14ac:dyDescent="0.3"/>
    <row r="5" spans="4:14" ht="44.25" customHeight="1" x14ac:dyDescent="0.6">
      <c r="D5" s="45" t="s">
        <v>27</v>
      </c>
      <c r="E5" s="46"/>
      <c r="F5" s="46"/>
      <c r="G5" s="46"/>
      <c r="H5" s="46"/>
      <c r="I5" s="46"/>
      <c r="J5" s="46"/>
      <c r="K5" s="46"/>
      <c r="L5" s="46"/>
      <c r="M5" s="46"/>
      <c r="N5" s="47"/>
    </row>
    <row r="6" spans="4:14" ht="22.5" customHeight="1" x14ac:dyDescent="0.25">
      <c r="D6" s="53" t="s">
        <v>28</v>
      </c>
      <c r="E6" s="54" t="s">
        <v>29</v>
      </c>
      <c r="F6" s="54" t="s">
        <v>30</v>
      </c>
      <c r="G6" s="54" t="s">
        <v>31</v>
      </c>
      <c r="H6" s="54" t="s">
        <v>32</v>
      </c>
      <c r="I6" s="54" t="s">
        <v>33</v>
      </c>
      <c r="J6" s="54" t="s">
        <v>34</v>
      </c>
      <c r="K6" s="54" t="s">
        <v>35</v>
      </c>
      <c r="L6" s="54" t="s">
        <v>36</v>
      </c>
      <c r="M6" s="54" t="s">
        <v>37</v>
      </c>
      <c r="N6" s="55" t="s">
        <v>38</v>
      </c>
    </row>
    <row r="7" spans="4:14" x14ac:dyDescent="0.25">
      <c r="D7" s="48">
        <v>1</v>
      </c>
      <c r="E7" s="49" t="s">
        <v>39</v>
      </c>
      <c r="F7" s="49" t="s">
        <v>40</v>
      </c>
      <c r="G7" s="49">
        <v>15000</v>
      </c>
      <c r="H7" s="49">
        <v>3000</v>
      </c>
      <c r="I7" s="49">
        <v>3750</v>
      </c>
      <c r="J7" s="49">
        <v>750</v>
      </c>
      <c r="K7" s="49">
        <f>SUM(G7:J7)</f>
        <v>22500</v>
      </c>
      <c r="L7" s="49">
        <f>K7/8</f>
        <v>2812.5</v>
      </c>
      <c r="M7" s="49">
        <f>K7/33.33</f>
        <v>675.06750675067508</v>
      </c>
      <c r="N7" s="50">
        <f>K7-L7-M7</f>
        <v>19012.432493249325</v>
      </c>
    </row>
    <row r="8" spans="4:14" x14ac:dyDescent="0.25">
      <c r="D8" s="48">
        <v>2</v>
      </c>
      <c r="E8" s="49" t="s">
        <v>41</v>
      </c>
      <c r="F8" s="49" t="s">
        <v>42</v>
      </c>
      <c r="G8" s="49">
        <v>10000</v>
      </c>
      <c r="H8" s="49">
        <v>2000</v>
      </c>
      <c r="I8" s="49">
        <v>2500</v>
      </c>
      <c r="J8" s="49">
        <v>500</v>
      </c>
      <c r="K8" s="49">
        <f t="shared" ref="K8:K16" si="0">SUM(G8:J8)</f>
        <v>15000</v>
      </c>
      <c r="L8" s="49">
        <f t="shared" ref="L8:L16" si="1">K8/8</f>
        <v>1875</v>
      </c>
      <c r="M8" s="49">
        <f t="shared" ref="M8:M16" si="2">K8/33.33</f>
        <v>450.04500450045009</v>
      </c>
      <c r="N8" s="50">
        <f t="shared" ref="N8:N16" si="3">K8-L8-M8</f>
        <v>12674.954995499549</v>
      </c>
    </row>
    <row r="9" spans="4:14" x14ac:dyDescent="0.25">
      <c r="D9" s="48">
        <v>3</v>
      </c>
      <c r="E9" s="49" t="s">
        <v>8</v>
      </c>
      <c r="F9" s="49" t="s">
        <v>43</v>
      </c>
      <c r="G9" s="49">
        <v>8000</v>
      </c>
      <c r="H9" s="49">
        <v>1600</v>
      </c>
      <c r="I9" s="49">
        <v>2000</v>
      </c>
      <c r="J9" s="49">
        <v>400</v>
      </c>
      <c r="K9" s="49">
        <f t="shared" si="0"/>
        <v>12000</v>
      </c>
      <c r="L9" s="49">
        <f t="shared" si="1"/>
        <v>1500</v>
      </c>
      <c r="M9" s="49">
        <f t="shared" si="2"/>
        <v>360.03600360036006</v>
      </c>
      <c r="N9" s="50">
        <f t="shared" si="3"/>
        <v>10139.96399639964</v>
      </c>
    </row>
    <row r="10" spans="4:14" x14ac:dyDescent="0.25">
      <c r="D10" s="48">
        <v>4</v>
      </c>
      <c r="E10" s="49" t="s">
        <v>9</v>
      </c>
      <c r="F10" s="49" t="s">
        <v>44</v>
      </c>
      <c r="G10" s="49">
        <v>7000</v>
      </c>
      <c r="H10" s="49">
        <v>1400</v>
      </c>
      <c r="I10" s="49">
        <v>1750</v>
      </c>
      <c r="J10" s="49">
        <v>350</v>
      </c>
      <c r="K10" s="49">
        <f t="shared" si="0"/>
        <v>10500</v>
      </c>
      <c r="L10" s="49">
        <f t="shared" si="1"/>
        <v>1312.5</v>
      </c>
      <c r="M10" s="49">
        <f t="shared" si="2"/>
        <v>315.03150315031507</v>
      </c>
      <c r="N10" s="50">
        <f t="shared" si="3"/>
        <v>8872.468496849684</v>
      </c>
    </row>
    <row r="11" spans="4:14" x14ac:dyDescent="0.25">
      <c r="D11" s="48">
        <v>5</v>
      </c>
      <c r="E11" s="49" t="s">
        <v>10</v>
      </c>
      <c r="F11" s="49" t="s">
        <v>40</v>
      </c>
      <c r="G11" s="49">
        <v>18000</v>
      </c>
      <c r="H11" s="49">
        <v>3600</v>
      </c>
      <c r="I11" s="49">
        <v>4500</v>
      </c>
      <c r="J11" s="49">
        <v>900</v>
      </c>
      <c r="K11" s="49">
        <f t="shared" si="0"/>
        <v>27000</v>
      </c>
      <c r="L11" s="49">
        <f t="shared" si="1"/>
        <v>3375</v>
      </c>
      <c r="M11" s="49">
        <f t="shared" si="2"/>
        <v>810.0810081008101</v>
      </c>
      <c r="N11" s="50">
        <f t="shared" si="3"/>
        <v>22814.918991899191</v>
      </c>
    </row>
    <row r="12" spans="4:14" x14ac:dyDescent="0.25">
      <c r="D12" s="48">
        <v>6</v>
      </c>
      <c r="E12" s="49" t="s">
        <v>45</v>
      </c>
      <c r="F12" s="49" t="s">
        <v>46</v>
      </c>
      <c r="G12" s="49">
        <v>9000</v>
      </c>
      <c r="H12" s="49">
        <v>1800</v>
      </c>
      <c r="I12" s="49">
        <v>2250</v>
      </c>
      <c r="J12" s="49">
        <v>450</v>
      </c>
      <c r="K12" s="49">
        <f t="shared" si="0"/>
        <v>13500</v>
      </c>
      <c r="L12" s="49">
        <f t="shared" si="1"/>
        <v>1687.5</v>
      </c>
      <c r="M12" s="49">
        <f t="shared" si="2"/>
        <v>405.04050405040505</v>
      </c>
      <c r="N12" s="50">
        <f t="shared" si="3"/>
        <v>11407.459495949595</v>
      </c>
    </row>
    <row r="13" spans="4:14" x14ac:dyDescent="0.25">
      <c r="D13" s="48">
        <v>7</v>
      </c>
      <c r="E13" s="49" t="s">
        <v>47</v>
      </c>
      <c r="F13" s="49" t="s">
        <v>44</v>
      </c>
      <c r="G13" s="49">
        <v>8000</v>
      </c>
      <c r="H13" s="49">
        <v>1600</v>
      </c>
      <c r="I13" s="49">
        <v>2000</v>
      </c>
      <c r="J13" s="49">
        <v>400</v>
      </c>
      <c r="K13" s="49">
        <f t="shared" si="0"/>
        <v>12000</v>
      </c>
      <c r="L13" s="49">
        <f t="shared" si="1"/>
        <v>1500</v>
      </c>
      <c r="M13" s="49">
        <f t="shared" si="2"/>
        <v>360.03600360036006</v>
      </c>
      <c r="N13" s="50">
        <f t="shared" si="3"/>
        <v>10139.96399639964</v>
      </c>
    </row>
    <row r="14" spans="4:14" x14ac:dyDescent="0.25">
      <c r="D14" s="48">
        <v>8</v>
      </c>
      <c r="E14" s="49" t="s">
        <v>48</v>
      </c>
      <c r="F14" s="49" t="s">
        <v>43</v>
      </c>
      <c r="G14" s="49">
        <v>9000</v>
      </c>
      <c r="H14" s="49">
        <v>1800</v>
      </c>
      <c r="I14" s="49">
        <v>2250</v>
      </c>
      <c r="J14" s="49">
        <v>450</v>
      </c>
      <c r="K14" s="49">
        <f t="shared" si="0"/>
        <v>13500</v>
      </c>
      <c r="L14" s="49">
        <f t="shared" si="1"/>
        <v>1687.5</v>
      </c>
      <c r="M14" s="49">
        <f t="shared" si="2"/>
        <v>405.04050405040505</v>
      </c>
      <c r="N14" s="50">
        <f t="shared" si="3"/>
        <v>11407.459495949595</v>
      </c>
    </row>
    <row r="15" spans="4:14" x14ac:dyDescent="0.25">
      <c r="D15" s="48">
        <v>9</v>
      </c>
      <c r="E15" s="49" t="s">
        <v>49</v>
      </c>
      <c r="F15" s="49" t="s">
        <v>42</v>
      </c>
      <c r="G15" s="49">
        <v>13000</v>
      </c>
      <c r="H15" s="49">
        <v>2600</v>
      </c>
      <c r="I15" s="49">
        <v>3250</v>
      </c>
      <c r="J15" s="49">
        <v>650</v>
      </c>
      <c r="K15" s="49">
        <f t="shared" si="0"/>
        <v>19500</v>
      </c>
      <c r="L15" s="49">
        <f t="shared" si="1"/>
        <v>2437.5</v>
      </c>
      <c r="M15" s="49">
        <f t="shared" si="2"/>
        <v>585.05850585058511</v>
      </c>
      <c r="N15" s="50">
        <f t="shared" si="3"/>
        <v>16477.441494149414</v>
      </c>
    </row>
    <row r="16" spans="4:14" x14ac:dyDescent="0.25">
      <c r="D16" s="51">
        <v>10</v>
      </c>
      <c r="E16" s="11" t="s">
        <v>50</v>
      </c>
      <c r="F16" s="11" t="s">
        <v>51</v>
      </c>
      <c r="G16" s="11">
        <v>3500</v>
      </c>
      <c r="H16" s="11">
        <v>700</v>
      </c>
      <c r="I16" s="11">
        <v>875</v>
      </c>
      <c r="J16" s="11">
        <v>175</v>
      </c>
      <c r="K16" s="11">
        <f t="shared" si="0"/>
        <v>5250</v>
      </c>
      <c r="L16" s="11">
        <f t="shared" si="1"/>
        <v>656.25</v>
      </c>
      <c r="M16" s="11">
        <f t="shared" si="2"/>
        <v>157.51575157515754</v>
      </c>
      <c r="N16" s="52">
        <f t="shared" si="3"/>
        <v>4436.234248424842</v>
      </c>
    </row>
  </sheetData>
  <mergeCells count="1">
    <mergeCell ref="D5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Examination Sheet </vt:lpstr>
      <vt:lpstr>EMI Calculator</vt:lpstr>
      <vt:lpstr>Salary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2026-05-26T11:11:54Z</dcterms:created>
  <dcterms:modified xsi:type="dcterms:W3CDTF">2026-05-28T11:07:48Z</dcterms:modified>
</cp:coreProperties>
</file>